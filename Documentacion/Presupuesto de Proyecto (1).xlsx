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 del proyecto" sheetId="1" state="visible" r:id="rId3"/>
    <sheet name="listas desplegables" sheetId="2" state="visible" r:id="rId4"/>
  </sheets>
  <definedNames>
    <definedName function="false" hidden="false" localSheetId="0" name="_xlnm.Print_Area" vbProcedure="false">'Presupuesto del proyecto'!$B$1:$U$28</definedName>
    <definedName function="false" hidden="false" name="Priority" vbProcedure="false">#REF!</definedName>
    <definedName function="false" hidden="false" name="Status" vbProcedure="false">'listas desplegables'!$D$5:$D$7</definedName>
    <definedName function="false" hidden="false" name="YesNo" vbProcedure="false">'listas desplegables'!$B$5:$B$6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<sst xmlns="http://schemas.openxmlformats.org/spreadsheetml/2006/main" count="279" uniqueCount="136">
  <si>
    <t xml:space="preserve">Presupuesto de Proyecto</t>
  </si>
  <si>
    <t xml:space="preserve">El usuario debe completar solo las celdas no sombreadas.</t>
  </si>
  <si>
    <t xml:space="preserve">Mano de Obra</t>
  </si>
  <si>
    <t xml:space="preserve">Materiales</t>
  </si>
  <si>
    <t xml:space="preserve">Costos Fijos</t>
  </si>
  <si>
    <t xml:space="preserve">Balance</t>
  </si>
  <si>
    <t xml:space="preserve">TAREA</t>
  </si>
  <si>
    <t xml:space="preserve">DESCRIPCION</t>
  </si>
  <si>
    <t xml:space="preserve">ESTADO</t>
  </si>
  <si>
    <t xml:space="preserve">FECHA INICIO PLANIFICADA</t>
  </si>
  <si>
    <t xml:space="preserve">FECHA INICIO REAL</t>
  </si>
  <si>
    <t xml:space="preserve">FECHA FIN</t>
  </si>
  <si>
    <t xml:space="preserve">N° Trabajadores</t>
  </si>
  <si>
    <t xml:space="preserve">HORAS * Trabajador</t>
  </si>
  <si>
    <t xml:space="preserve">Horas</t>
  </si>
  <si>
    <t xml:space="preserve">VALOR HORA</t>
  </si>
  <si>
    <t xml:space="preserve">TOTAL MANO DE OBRA</t>
  </si>
  <si>
    <t xml:space="preserve">UNIDADES</t>
  </si>
  <si>
    <t xml:space="preserve">VALOR UNIDAD</t>
  </si>
  <si>
    <t xml:space="preserve">TOTAL MATERIALES</t>
  </si>
  <si>
    <t xml:space="preserve">VIAJES</t>
  </si>
  <si>
    <t xml:space="preserve">EQUIPOS</t>
  </si>
  <si>
    <t xml:space="preserve">MISCELANEOS</t>
  </si>
  <si>
    <t xml:space="preserve">PRESUPUESTO</t>
  </si>
  <si>
    <t xml:space="preserve">REAL</t>
  </si>
  <si>
    <t xml:space="preserve">Diferencia (Menos / Más del Presupuesto)</t>
  </si>
  <si>
    <t xml:space="preserve">FASE 1: INICIO / ANÁLISIS</t>
  </si>
  <si>
    <t xml:space="preserve">[1.1] Generar propuesta de proyecto</t>
  </si>
  <si>
    <t xml:space="preserve">Elaboración de la propuesta inicial de Citizen Colombia basada en análisis de seguridad ciudadana</t>
  </si>
  <si>
    <t xml:space="preserve">Completo</t>
  </si>
  <si>
    <t xml:space="preserve">[1.2] Objetivos generales y específicos</t>
  </si>
  <si>
    <t xml:space="preserve">Definición de objetivos del proyecto adaptados al contexto de seguridad colombiana</t>
  </si>
  <si>
    <t xml:space="preserve">[1.3] Delimitaciones y alcance</t>
  </si>
  <si>
    <t xml:space="preserve">Identificación de riesgos iniciales y determinación del alcance funcional del sistema</t>
  </si>
  <si>
    <t xml:space="preserve">[1.4] Requerimientos del proyecto</t>
  </si>
  <si>
    <t xml:space="preserve">Levantamiento de requerimientos: recursos, stakeholders y restricciones del proyecto</t>
  </si>
  <si>
    <t xml:space="preserve">[1.5] Benchmarking de aplicaciones similares</t>
  </si>
  <si>
    <t xml:space="preserve">Análisis comparativo de apps como Citizen App para adaptar funcionalidades al contexto colombiano</t>
  </si>
  <si>
    <t xml:space="preserve">[1.6] Definición de criterios de éxito y KPIs</t>
  </si>
  <si>
    <t xml:space="preserve">Establecimiento de métricas clave de adopción, respuesta y seguridad para la plataforma</t>
  </si>
  <si>
    <t xml:space="preserve">[1.7] Aprobación formal del inicio del proyecto</t>
  </si>
  <si>
    <t xml:space="preserve">Firma del acta de inicio y validación ejecutiva ante stakeholders institucionales</t>
  </si>
  <si>
    <t xml:space="preserve">SUBTOTAL FASE 1</t>
  </si>
  <si>
    <t xml:space="preserve">FASE 2: PLANIFICACIÓN</t>
  </si>
  <si>
    <t xml:space="preserve">[2.1] Inicializar repositorio GIT</t>
  </si>
  <si>
    <t xml:space="preserve">Configuración de GitHub con estructura de ramas, políticas de merge y pipeline CI/CD base</t>
  </si>
  <si>
    <t xml:space="preserve">No Iniciado</t>
  </si>
  <si>
    <t xml:space="preserve">[2.2] MockUp - Diseño inicial de la plataforma</t>
  </si>
  <si>
    <t xml:space="preserve">Diseño de wireframes y mockup inicial en Figma/Canva para la aplicación Citizen Colombia</t>
  </si>
  <si>
    <t xml:space="preserve">[2.3] Definición de la arquitectura tecnológica</t>
  </si>
  <si>
    <t xml:space="preserve">Arquitectura de microservicios en la nube para módulos de alertas, reportes y autenticación</t>
  </si>
  <si>
    <t xml:space="preserve">[2.4] Planificación de recursos humanos y presupuesto</t>
  </si>
  <si>
    <t xml:space="preserve">Asignación de roles, perfiles especializados y estimación del presupuesto total del proyecto</t>
  </si>
  <si>
    <t xml:space="preserve">[2.5] Plan de gestión de riesgos</t>
  </si>
  <si>
    <t xml:space="preserve">Identificación y valoración de riesgos técnicos, legales y operativos con plan de mitigación</t>
  </si>
  <si>
    <t xml:space="preserve">[2.6] Estrategia de seguridad y privacidad</t>
  </si>
  <si>
    <t xml:space="preserve">Políticas de cifrado end-to-end y cumplimiento de la Ley 1581 habeas data colombiana</t>
  </si>
  <si>
    <t xml:space="preserve">[2.7] Plan de comunicación con comunidades y autoridades</t>
  </si>
  <si>
    <t xml:space="preserve">Protocolos de comunicación entre ciudadanos, representantes comunitarios y policía metropolitana</t>
  </si>
  <si>
    <t xml:space="preserve">[2.8] Selección y contratación de proveedor Cloud</t>
  </si>
  <si>
    <t xml:space="preserve">Evaluación y contratación AWS/GCP para infraestructura escalable con SLA definido</t>
  </si>
  <si>
    <t xml:space="preserve">SUBTOTAL FASE 2</t>
  </si>
  <si>
    <t xml:space="preserve">FASE 3: DISEÑO DEL SISTEMA</t>
  </si>
  <si>
    <t xml:space="preserve">[3.1] Diseño de arquitectura de microservicios</t>
  </si>
  <si>
    <t xml:space="preserve">Especificación de microservicios para alertas, reportes, autenticación y panel policial</t>
  </si>
  <si>
    <t xml:space="preserve">[3.2] Diseño BD e integración con Policía Nacional</t>
  </si>
  <si>
    <t xml:space="preserve">Modelado relacional y NoSQL y APIs de conexión con sistemas de la Policía Nacional de Colombia</t>
  </si>
  <si>
    <t xml:space="preserve">[3.3] Diseño UX/UI de la aplicación móvil</t>
  </si>
  <si>
    <t xml:space="preserve">Prototipos de alta fidelidad en Figma para la interfaz ciudadana de Citizen Colombia</t>
  </si>
  <si>
    <t xml:space="preserve">[3.4] Prototipado y validación con usuarios piloto</t>
  </si>
  <si>
    <t xml:space="preserve">Prueba del prototipo con grupos ciudadanos piloto para validar usabilidad y flujos de reporte</t>
  </si>
  <si>
    <t xml:space="preserve">[3.5] Diseño módulo de alertas en tiempo real</t>
  </si>
  <si>
    <t xml:space="preserve">Especificación de notificaciones push, geolocalización y broadcasting de alertas por zona</t>
  </si>
  <si>
    <t xml:space="preserve">[3.6] Diseño del sistema de autenticación y roles</t>
  </si>
  <si>
    <t xml:space="preserve">Flujos OAuth2/JWT y niveles de acceso para ciudadanos, policías y administradores</t>
  </si>
  <si>
    <t xml:space="preserve">[3.7] Revisión y aprobación de diseños finales</t>
  </si>
  <si>
    <t xml:space="preserve">Validación ejecutiva de diseños de sistema y UX/UI antes del inicio del desarrollo</t>
  </si>
  <si>
    <t xml:space="preserve">SUBTOTAL FASE 3</t>
  </si>
  <si>
    <t xml:space="preserve">FASE 4: DESARROLLO</t>
  </si>
  <si>
    <t xml:space="preserve">[4.1] Configuración del entorno de desarrollo Cloud</t>
  </si>
  <si>
    <t xml:space="preserve">Aprovisionamiento dev/staging/producción en cloud con pipelines CI/CD configurados</t>
  </si>
  <si>
    <t xml:space="preserve">[4.2] Desarrollo módulo de reporte de incidentes</t>
  </si>
  <si>
    <t xml:space="preserve">Flujo de reporte ciudadano con categorías, evidencia multimedia y geolocalización real-time</t>
  </si>
  <si>
    <t xml:space="preserve">[4.3] Desarrollo módulo de alertas en tiempo real</t>
  </si>
  <si>
    <t xml:space="preserve">Broadcasting de alertas con notificaciones push y filtros por radio de zona geográfica</t>
  </si>
  <si>
    <t xml:space="preserve">[4.4] Desarrollo panel de control para autoridades</t>
  </si>
  <si>
    <t xml:space="preserve">Dashboard operativo para la Policía Metropolitana: gestión de alertas y respuestas en campo</t>
  </si>
  <si>
    <t xml:space="preserve">[4.5] Integración con sistemas de la Policía Metro.</t>
  </si>
  <si>
    <t xml:space="preserve">APIs seguras con sistemas de despacho y gestión de incidentes de la Policía Nacional</t>
  </si>
  <si>
    <t xml:space="preserve">[4.6] Implementación de cifrado y protección de datos</t>
  </si>
  <si>
    <t xml:space="preserve">Cifrado end-to-end, anonimización de ubicación y cumplimiento Ley 1581/2012 habeas data</t>
  </si>
  <si>
    <t xml:space="preserve">[4.7] Desarrollo módulo de análisis y estadísticas</t>
  </si>
  <si>
    <t xml:space="preserve">Dashboards con mapas de calor de incidentes, tendencias temporales y reportes automáticos</t>
  </si>
  <si>
    <t xml:space="preserve">[4.8] Integración notificaciones push y geolocaliz.</t>
  </si>
  <si>
    <t xml:space="preserve">Firebase Cloud Messaging y APIs de geolocalización en tiempo real para Android e iOS</t>
  </si>
  <si>
    <t xml:space="preserve">[4.9] Revisión de código y control de versiones</t>
  </si>
  <si>
    <t xml:space="preserve">Auditoría de código, pull requests, análisis SAST y gestión de ramas en GitHub</t>
  </si>
  <si>
    <t xml:space="preserve">[4.10] Documentación técnica del sistema</t>
  </si>
  <si>
    <t xml:space="preserve">Manuales técnicos, guías API REST y diagramas de arquitectura para mantenimiento futuro</t>
  </si>
  <si>
    <t xml:space="preserve">SUBTOTAL FASE 4</t>
  </si>
  <si>
    <t xml:space="preserve">FASE 5: PRUEBAS E IMPLEMENTACIÓN</t>
  </si>
  <si>
    <t xml:space="preserve">[5.1] Pruebas unitarias y de integración</t>
  </si>
  <si>
    <t xml:space="preserve">Pruebas automatizadas por módulo con Jest y validación de integración entre microservicios</t>
  </si>
  <si>
    <t xml:space="preserve">[5.2] Pruebas de seguridad y penetración (Pen Testing)</t>
  </si>
  <si>
    <t xml:space="preserve">Pen testing, análisis OWASP Top 10 y auditoría de seguridad de la plataforma completa</t>
  </si>
  <si>
    <t xml:space="preserve">[5.3] Pruebas de rendimiento y carga</t>
  </si>
  <si>
    <t xml:space="preserve">Simulación de alta concurrencia con JMeter para validar estabilidad bajo carga máxima</t>
  </si>
  <si>
    <t xml:space="preserve">[5.4] Pruebas UAT con comunidades piloto</t>
  </si>
  <si>
    <t xml:space="preserve">Validación funcional con grupos piloto en zonas de prueba de Cali y Bogotá</t>
  </si>
  <si>
    <t xml:space="preserve">[5.5] Revisión legal y cumplimiento normativo final</t>
  </si>
  <si>
    <t xml:space="preserve">Auditoría legal de datos, términos de servicio y alineación con normativa colombiana</t>
  </si>
  <si>
    <t xml:space="preserve">[5.6] Plan de despliegue y rollout progresivo</t>
  </si>
  <si>
    <t xml:space="preserve">Lanzamiento por ciudades colombianas con despliegue controlado y métricas de adopción</t>
  </si>
  <si>
    <t xml:space="preserve">[5.7] Capacitación a policía y autoridades</t>
  </si>
  <si>
    <t xml:space="preserve">Formación al personal de la Policía Metropolitana en panel de control y gestión de alertas</t>
  </si>
  <si>
    <t xml:space="preserve">[5.8] Lanzamiento oficial y campaña de marketing</t>
  </si>
  <si>
    <t xml:space="preserve">Lanzamiento público de Citizen Colombia con campaña digital y alianzas con medios locales</t>
  </si>
  <si>
    <t xml:space="preserve">[5.9] Monitoreo post-lanzamiento y soporte inicial</t>
  </si>
  <si>
    <t xml:space="preserve">Seguimiento de métricas de adopción, incidentes técnicos y soporte a primeros usuarios</t>
  </si>
  <si>
    <t xml:space="preserve">[5.10] Cierre formal y lecciones aprendidas</t>
  </si>
  <si>
    <t xml:space="preserve">Documentación de lecciones aprendidas, cierre contractual y entrega formal de la plataforma</t>
  </si>
  <si>
    <t xml:space="preserve">SUBTOTAL FASE 5</t>
  </si>
  <si>
    <t xml:space="preserve">TOTAL GENERAL DEL PROYECTO — CITIZEN COLOMBIA</t>
  </si>
  <si>
    <t xml:space="preserve">listas desplegables</t>
  </si>
  <si>
    <t xml:space="preserve">SI / NO</t>
  </si>
  <si>
    <t xml:space="preserve">PRIORIDAD</t>
  </si>
  <si>
    <t xml:space="preserve">Si</t>
  </si>
  <si>
    <t xml:space="preserve">Baja</t>
  </si>
  <si>
    <t xml:space="preserve">No</t>
  </si>
  <si>
    <t xml:space="preserve">Media</t>
  </si>
  <si>
    <t xml:space="preserve">En Progreso</t>
  </si>
  <si>
    <t xml:space="preserve">Alta</t>
  </si>
  <si>
    <t xml:space="preserve">Requiere Revisión</t>
  </si>
  <si>
    <t xml:space="preserve">Aprobado</t>
  </si>
  <si>
    <t xml:space="preserve">Atrasado</t>
  </si>
  <si>
    <t xml:space="preserve">En Espera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</si>
</sst>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/dd/yy;@"/>
    <numFmt numFmtId="166" formatCode="yyyy\-mm\-dd"/>
    <numFmt numFmtId="167" formatCode="0.00"/>
    <numFmt numFmtId="168" formatCode="0.0"/>
    <numFmt numFmtId="169" formatCode="_(\$* #,##0.00_);_(\$* \(#,##0.00\);_(\$* \-??_);_(@_)"/>
    <numFmt numFmtId="170" formatCode="\$#,##0"/>
    <numFmt numFmtId="171" formatCode="\$#,##0.00_);&quot;($&quot;#,##0.00\)"/>
    <numFmt numFmtId="172" formatCode="\$#,##0_);&quot;($&quot;#,##0\)"/>
    <numFmt numFmtId="173" formatCode="_(\$* #,##0_);_(\$* \(#,##0\);_(\$* \-??_);_(@_)"/>
  </numFmts>
  <fonts count="1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theme="1"/>
      <name val="Century Gothic"/>
      <family val="1"/>
      <charset val="1"/>
    </font>
    <font>
      <b val="true"/>
      <sz val="24"/>
      <color theme="1" tint="0.3499"/>
      <name val="Century Gothic"/>
      <family val="1"/>
      <charset val="1"/>
    </font>
    <font>
      <b val="true"/>
      <sz val="22"/>
      <color theme="1" tint="0.3499"/>
      <name val="Century Gothic"/>
      <family val="1"/>
      <charset val="1"/>
    </font>
    <font>
      <b val="true"/>
      <sz val="20"/>
      <color theme="0" tint="-0.5"/>
      <name val="Century Gothic"/>
      <family val="1"/>
      <charset val="1"/>
    </font>
    <font>
      <sz val="12"/>
      <color theme="1" tint="0.3499"/>
      <name val="Century Gothic"/>
      <family val="1"/>
      <charset val="1"/>
    </font>
    <font>
      <b val="true"/>
      <sz val="10"/>
      <color theme="0"/>
      <name val="Century Gothic"/>
      <family val="2"/>
      <charset val="1"/>
    </font>
    <font>
      <sz val="10"/>
      <name val="Century Gothic"/>
      <family val="1"/>
      <charset val="1"/>
    </font>
    <font>
      <sz val="10"/>
      <color theme="0"/>
      <name val="Century Gothic"/>
      <family val="1"/>
      <charset val="1"/>
    </font>
    <font>
      <sz val="10"/>
      <name val="Century Gothic"/>
      <family val="2"/>
      <charset val="1"/>
    </font>
    <font>
      <b val="true"/>
      <sz val="11"/>
      <color rgb="FFFFFFFF"/>
      <name val="Century Gothic"/>
      <family val="0"/>
      <charset val="1"/>
    </font>
    <font>
      <sz val="22"/>
      <color theme="1" tint="0.3499"/>
      <name val="Century Gothic"/>
      <family val="1"/>
      <charset val="1"/>
    </font>
    <font>
      <b val="true"/>
      <sz val="10"/>
      <color theme="1"/>
      <name val="Century Gothic"/>
      <family val="1"/>
      <charset val="1"/>
    </font>
    <font>
      <sz val="10"/>
      <color rgb="FF000000"/>
      <name val="Century Gothic"/>
      <family val="1"/>
      <charset val="1"/>
    </font>
    <font>
      <sz val="11"/>
      <color rgb="FF000000"/>
      <name val="Century Gothic"/>
      <family val="1"/>
      <charset val="1"/>
    </font>
  </fonts>
  <fills count="20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 tint="0.3499"/>
        <bgColor rgb="FF44546A"/>
      </patternFill>
    </fill>
    <fill>
      <patternFill patternType="solid">
        <fgColor theme="3" tint="-0.25"/>
        <bgColor rgb="FF44546A"/>
      </patternFill>
    </fill>
    <fill>
      <patternFill patternType="solid">
        <fgColor theme="4" tint="0.7999"/>
        <bgColor rgb="FFD9D9D9"/>
      </patternFill>
    </fill>
    <fill>
      <patternFill patternType="solid">
        <fgColor theme="0" tint="-0.05"/>
        <bgColor rgb="FFFFFFFF"/>
      </patternFill>
    </fill>
    <fill>
      <patternFill patternType="solid">
        <fgColor theme="0" tint="-0.15"/>
        <bgColor rgb="FFDAE3F3"/>
      </patternFill>
    </fill>
    <fill>
      <patternFill patternType="solid">
        <fgColor theme="3"/>
        <bgColor rgb="FF595959"/>
      </patternFill>
    </fill>
    <fill>
      <patternFill patternType="solid">
        <fgColor rgb="FF0070C0"/>
        <bgColor rgb="FF008080"/>
      </patternFill>
    </fill>
    <fill>
      <patternFill patternType="solid">
        <fgColor rgb="FFB6FBF5"/>
        <bgColor rgb="FFABEFEA"/>
      </patternFill>
    </fill>
    <fill>
      <patternFill patternType="solid">
        <fgColor rgb="FF00EAF0"/>
        <bgColor rgb="FF00FFFF"/>
      </patternFill>
    </fill>
    <fill>
      <patternFill patternType="solid">
        <fgColor theme="7" tint="0.7999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6A6A6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3C25B"/>
      </patternFill>
    </fill>
    <fill>
      <patternFill patternType="solid">
        <fgColor rgb="FFABEFEA"/>
        <bgColor rgb="FFB6FBF5"/>
      </patternFill>
    </fill>
    <fill>
      <patternFill patternType="solid">
        <fgColor rgb="FF5EE9E7"/>
        <bgColor rgb="FFABEFEA"/>
      </patternFill>
    </fill>
    <fill>
      <patternFill patternType="solid">
        <fgColor theme="7" tint="0.3999"/>
        <bgColor rgb="FFFFF2CC"/>
      </patternFill>
    </fill>
  </fills>
  <borders count="32">
    <border diagonalUp="false" diagonalDown="false">
      <left/>
      <right/>
      <top/>
      <bottom/>
      <diagonal/>
    </border>
    <border diagonalUp="false" diagonalDown="false">
      <left/>
      <right style="dashed">
        <color theme="0" tint="-0.35"/>
      </right>
      <top/>
      <bottom/>
      <diagonal/>
    </border>
    <border diagonalUp="false" diagonalDown="false">
      <left style="dashed">
        <color theme="0" tint="-0.35"/>
      </left>
      <right style="thin">
        <color theme="0" tint="-0.25"/>
      </right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medium">
        <color theme="0" tint="-0.3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double">
        <color theme="0" tint="-0.35"/>
      </right>
      <top style="medium">
        <color theme="0" tint="-0.35"/>
      </top>
      <bottom style="thin">
        <color theme="0" tint="-0.25"/>
      </bottom>
      <diagonal/>
    </border>
    <border diagonalUp="false" diagonalDown="false">
      <left style="double">
        <color theme="0" tint="-0.35"/>
      </left>
      <right style="medium">
        <color theme="0" tint="-0.35"/>
      </right>
      <top style="medium">
        <color theme="0" tint="-0.3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/>
      <top/>
      <bottom style="thin">
        <color theme="0" tint="-0.25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/>
      <right style="thin">
        <color theme="0" tint="-0.25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 tint="-0.25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/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double">
        <color theme="0" tint="-0.3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double">
        <color theme="0" tint="-0.35"/>
      </left>
      <right style="dashed">
        <color theme="0" tint="-0.35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medium">
        <color theme="0" tint="-0.35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medium">
        <color theme="0" tint="-0.3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dashed">
        <color theme="0" tint="-0.35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/>
      <top/>
      <bottom style="thin">
        <color theme="0" tint="-0.25"/>
      </bottom>
      <diagonal/>
    </border>
    <border diagonalUp="false" diagonalDown="false">
      <left/>
      <right style="thin">
        <color theme="0" tint="-0.25"/>
      </right>
      <top/>
      <bottom/>
      <diagonal/>
    </border>
    <border diagonalUp="false" diagonalDown="false">
      <left style="dashed">
        <color theme="0" tint="-0.35"/>
      </left>
      <right/>
      <top style="thin">
        <color theme="0" tint="-0.25"/>
      </top>
      <bottom/>
      <diagonal/>
    </border>
    <border diagonalUp="false" diagonalDown="false">
      <left style="thin">
        <color theme="1" tint="0.4999"/>
      </left>
      <right style="thin">
        <color theme="1" tint="0.4999"/>
      </right>
      <top style="thin">
        <color theme="1" tint="0.4999"/>
      </top>
      <bottom/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1" tint="0.4999"/>
      </left>
      <right style="thin">
        <color theme="1" tint="0.4999"/>
      </right>
      <top style="thin">
        <color theme="0" tint="-0.25"/>
      </top>
      <bottom style="thin">
        <color theme="1" tint="0.4999"/>
      </bottom>
      <diagonal/>
    </border>
    <border diagonalUp="false" diagonalDown="false">
      <left/>
      <right/>
      <top style="medium">
        <color theme="0" tint="-0.35"/>
      </top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medium">
        <color theme="0" tint="-0.35"/>
      </top>
      <bottom style="thin">
        <color theme="0" tint="-0.25"/>
      </bottom>
      <diagonal/>
    </border>
    <border diagonalUp="false" diagonalDown="false">
      <left/>
      <right style="double">
        <color theme="0" tint="-0.35"/>
      </right>
      <top style="medium">
        <color theme="0" tint="-0.35"/>
      </top>
      <bottom style="thin">
        <color theme="0" tint="-0.25"/>
      </bottom>
      <diagonal/>
    </border>
    <border diagonalUp="false" diagonalDown="false">
      <left/>
      <right style="medium">
        <color theme="0" tint="-0.35"/>
      </right>
      <top style="medium">
        <color theme="0" tint="-0.35"/>
      </top>
      <bottom style="thin">
        <color theme="0" tint="-0.25"/>
      </bottom>
      <diagonal/>
    </border>
    <border diagonalUp="false" diagonalDown="false">
      <left/>
      <right/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ck">
        <color theme="0" tint="-0.25"/>
      </top>
      <bottom style="thin">
        <color theme="0" tint="-0.2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5" fillId="5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5" fillId="5" borderId="1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5" fillId="5" borderId="1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5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4" fontId="5" fillId="2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5" fillId="0" borderId="17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6" fontId="5" fillId="0" borderId="18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7" fontId="5" fillId="0" borderId="21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8" fontId="11" fillId="0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1" fillId="0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11" fillId="0" borderId="17" xfId="17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11" fillId="5" borderId="17" xfId="17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8" fontId="11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11" fillId="0" borderId="17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11" fillId="0" borderId="13" xfId="17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0" fontId="5" fillId="0" borderId="14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1" fillId="6" borderId="15" xfId="17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0" fontId="5" fillId="7" borderId="15" xfId="1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7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4" fontId="12" fillId="8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8" borderId="17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5" fontId="10" fillId="8" borderId="18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5" fontId="10" fillId="8" borderId="19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8" fontId="13" fillId="8" borderId="2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1" fontId="10" fillId="8" borderId="17" xfId="17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0" fontId="10" fillId="8" borderId="17" xfId="17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2" fontId="10" fillId="8" borderId="1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2" fontId="10" fillId="8" borderId="17" xfId="17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0" fontId="10" fillId="8" borderId="1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0" fontId="10" fillId="8" borderId="13" xfId="17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0" fontId="10" fillId="8" borderId="14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8" borderId="15" xfId="17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0" fontId="10" fillId="8" borderId="15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7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5" fontId="5" fillId="0" borderId="24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7" fontId="5" fillId="0" borderId="25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71" fontId="11" fillId="0" borderId="17" xfId="17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2" fontId="11" fillId="5" borderId="17" xfId="17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2" fontId="11" fillId="0" borderId="17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2" fontId="11" fillId="0" borderId="13" xfId="17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3" fontId="5" fillId="0" borderId="14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1" fillId="6" borderId="15" xfId="17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3" fontId="5" fillId="7" borderId="15" xfId="1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3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3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3" borderId="5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4" borderId="10" xfId="1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4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4" borderId="12" xfId="1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4" borderId="6" xfId="1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4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4" borderId="13" xfId="1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4" borderId="14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5" xfId="1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4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5" fillId="0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5" fillId="0" borderId="1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5" fillId="0" borderId="2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1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5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1" fillId="6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5" fillId="7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9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17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0" fillId="0" borderId="0" xfId="17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6" xfId="17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0" fillId="0" borderId="27" xfId="17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10" fillId="3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0" fillId="0" borderId="2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0" fillId="0" borderId="28" xfId="17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10" fillId="3" borderId="5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26" xfId="17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0" fillId="0" borderId="29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8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5" fontId="5" fillId="0" borderId="30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4" fontId="10" fillId="4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4" borderId="16" xfId="1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5" borderId="2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5" borderId="1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5" borderId="6" xfId="17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5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5" borderId="17" xfId="17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5" borderId="1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5" borderId="13" xfId="1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5" borderId="14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5" xfId="1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5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4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2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7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4" borderId="17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4" fontId="17" fillId="15" borderId="1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6" borderId="17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7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18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19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7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8">
    <dxf>
      <fill>
        <patternFill>
          <bgColor rgb="FFFFF2CC"/>
        </patternFill>
      </fill>
    </dxf>
    <dxf>
      <fill>
        <patternFill>
          <bgColor rgb="FF5EE9E7"/>
        </patternFill>
      </fill>
    </dxf>
    <dxf>
      <fill>
        <patternFill>
          <bgColor theme="0" tint="-0.25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ABEFEA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7" tint="0.7999"/>
        </patternFill>
      </fill>
    </dxf>
    <dxf>
      <fill>
        <patternFill>
          <bgColor theme="0" tint="-0.15"/>
        </patternFill>
      </fill>
    </dxf>
    <dxf>
      <fill>
        <patternFill>
          <bgColor theme="7" tint="0.3999"/>
        </patternFill>
      </fill>
    </dxf>
    <dxf>
      <font>
        <color rgb="FF000000"/>
      </font>
      <fill>
        <patternFill>
          <bgColor rgb="FF03C25B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E7FFCA"/>
        </patternFill>
      </fill>
    </dxf>
    <dxf>
      <font>
        <color rgb="FF600000"/>
      </font>
      <fill>
        <patternFill>
          <bgColor rgb="FFFF927C"/>
        </patternFill>
      </fill>
    </dxf>
    <dxf>
      <font>
        <color rgb="FF000000"/>
      </font>
      <fill>
        <patternFill>
          <bgColor rgb="FF00EAF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EAF0"/>
      <rgbColor rgb="FF600000"/>
      <rgbColor rgb="FF008000"/>
      <rgbColor rgb="FF000080"/>
      <rgbColor rgb="FF7F7F7F"/>
      <rgbColor rgb="FF800080"/>
      <rgbColor rgb="FF03C25B"/>
      <rgbColor rgb="FFBFBFBF"/>
      <rgbColor rgb="FF808080"/>
      <rgbColor rgb="FF9999FF"/>
      <rgbColor rgb="FF993366"/>
      <rgbColor rgb="FFFFF2CC"/>
      <rgbColor rgb="FFB6FBF5"/>
      <rgbColor rgb="FF660066"/>
      <rgbColor rgb="FFFF927C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ABEFEA"/>
      <rgbColor rgb="FFE7FFCA"/>
      <rgbColor rgb="FFF2F2F2"/>
      <rgbColor rgb="FFADB9CA"/>
      <rgbColor rgb="FFFF99CC"/>
      <rgbColor rgb="FFDAE3F3"/>
      <rgbColor rgb="FFFFD966"/>
      <rgbColor rgb="FF3366FF"/>
      <rgbColor rgb="FF5EE9E7"/>
      <rgbColor rgb="FF92D050"/>
      <rgbColor rgb="FFFFC000"/>
      <rgbColor rgb="FFFF9900"/>
      <rgbColor rgb="FFFF6600"/>
      <rgbColor rgb="FF595959"/>
      <rgbColor rgb="FFA6A6A6"/>
      <rgbColor rgb="FF003366"/>
      <rgbColor rgb="FF00B050"/>
      <rgbColor rgb="FF003300"/>
      <rgbColor rgb="FF333300"/>
      <rgbColor rgb="FF993300"/>
      <rgbColor rgb="FF993366"/>
      <rgbColor rgb="FF44546A"/>
      <rgbColor rgb="FF33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261000</xdr:colOff>
      <xdr:row>6</xdr:row>
      <xdr:rowOff>281880</xdr:rowOff>
    </xdr:from>
    <xdr:to>
      <xdr:col>12</xdr:col>
      <xdr:colOff>2358720</xdr:colOff>
      <xdr:row>8</xdr:row>
      <xdr:rowOff>334080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6224840" y="2872800"/>
          <a:ext cx="2097720" cy="813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73080</xdr:colOff>
      <xdr:row>5</xdr:row>
      <xdr:rowOff>365400</xdr:rowOff>
    </xdr:from>
    <xdr:to>
      <xdr:col>12</xdr:col>
      <xdr:colOff>2507040</xdr:colOff>
      <xdr:row>11</xdr:row>
      <xdr:rowOff>291960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6036920" y="2575080"/>
          <a:ext cx="2433960" cy="2212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DB9CA"/>
    <pageSetUpPr fitToPage="true"/>
  </sheetPr>
  <dimension ref="A1:AQ417"/>
  <sheetViews>
    <sheetView showFormulas="false" showGridLines="false" showRowColHeaders="true" showZeros="true" rightToLeft="false" tabSelected="true" showOutlineSymbols="true" defaultGridColor="true" view="normal" topLeftCell="A1" colorId="64" zoomScale="73" zoomScaleNormal="73" zoomScalePageLayoutView="100" workbookViewId="0">
      <selection pane="topLeft" activeCell="D7" activeCellId="0" sqref="D7"/>
    </sheetView>
  </sheetViews>
  <sheetFormatPr defaultColWidth="11.00390625" defaultRowHeight="12.75" zeroHeight="false" outlineLevelRow="0" outlineLevelCol="0"/>
  <cols>
    <col collapsed="false" customWidth="true" hidden="false" outlineLevel="0" max="1" min="1" style="1" width="3.13"/>
    <col collapsed="false" customWidth="true" hidden="false" outlineLevel="0" max="2" min="2" style="1" width="22"/>
    <col collapsed="false" customWidth="true" hidden="false" outlineLevel="0" max="3" min="3" style="1" width="36.5"/>
    <col collapsed="false" customWidth="true" hidden="false" outlineLevel="0" max="4" min="4" style="1" width="26.25"/>
    <col collapsed="false" customWidth="true" hidden="false" outlineLevel="0" max="5" min="5" style="1" width="33.51"/>
    <col collapsed="false" customWidth="true" hidden="false" outlineLevel="0" max="8" min="6" style="1" width="11.63"/>
    <col collapsed="false" customWidth="true" hidden="false" outlineLevel="0" max="9" min="9" style="1" width="20.75"/>
    <col collapsed="false" customWidth="true" hidden="false" outlineLevel="0" max="10" min="10" style="1" width="8.87"/>
    <col collapsed="false" customWidth="true" hidden="false" outlineLevel="0" max="11" min="11" style="1" width="10"/>
    <col collapsed="false" customWidth="true" hidden="false" outlineLevel="0" max="12" min="12" style="1" width="11.88"/>
    <col collapsed="false" customWidth="true" hidden="false" outlineLevel="0" max="13" min="13" style="1" width="33.13"/>
    <col collapsed="false" customWidth="true" hidden="false" outlineLevel="0" max="14" min="14" style="1" width="27.75"/>
    <col collapsed="false" customWidth="true" hidden="false" outlineLevel="0" max="15" min="15" style="1" width="30.75"/>
    <col collapsed="false" customWidth="true" hidden="false" outlineLevel="0" max="18" min="16" style="1" width="11.88"/>
    <col collapsed="false" customWidth="true" hidden="false" outlineLevel="0" max="21" min="19" style="1" width="12.88"/>
    <col collapsed="false" customWidth="true" hidden="false" outlineLevel="0" max="22" min="22" style="1" width="3.13"/>
    <col collapsed="false" customWidth="false" hidden="false" outlineLevel="0" max="16384" min="23" style="1" width="11"/>
  </cols>
  <sheetData>
    <row r="1" customFormat="false" ht="45" hidden="false" customHeight="true" outlineLevel="0" collapsed="false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  <c r="T1" s="5"/>
      <c r="U1" s="5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="13" customFormat="true" ht="34.5" hidden="false" customHeight="true" outlineLevel="0" collapsed="false">
      <c r="A2" s="6"/>
      <c r="B2" s="7" t="s">
        <v>1</v>
      </c>
      <c r="C2" s="7"/>
      <c r="D2" s="7"/>
      <c r="E2" s="7"/>
      <c r="F2" s="7"/>
      <c r="G2" s="8"/>
      <c r="H2" s="9" t="s">
        <v>2</v>
      </c>
      <c r="I2" s="9"/>
      <c r="J2" s="9"/>
      <c r="K2" s="9"/>
      <c r="L2" s="9"/>
      <c r="M2" s="10" t="s">
        <v>3</v>
      </c>
      <c r="N2" s="10"/>
      <c r="O2" s="10"/>
      <c r="P2" s="11" t="s">
        <v>4</v>
      </c>
      <c r="Q2" s="11"/>
      <c r="R2" s="11"/>
      <c r="S2" s="12" t="s">
        <v>5</v>
      </c>
      <c r="T2" s="12"/>
      <c r="U2" s="12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="13" customFormat="true" ht="34.5" hidden="false" customHeight="true" outlineLevel="0" collapsed="false">
      <c r="A3" s="6"/>
      <c r="B3" s="14" t="s">
        <v>6</v>
      </c>
      <c r="C3" s="14" t="s">
        <v>7</v>
      </c>
      <c r="D3" s="14" t="s">
        <v>8</v>
      </c>
      <c r="E3" s="15" t="s">
        <v>9</v>
      </c>
      <c r="F3" s="15" t="s">
        <v>10</v>
      </c>
      <c r="G3" s="16" t="s">
        <v>11</v>
      </c>
      <c r="H3" s="17" t="s">
        <v>12</v>
      </c>
      <c r="I3" s="18" t="s">
        <v>13</v>
      </c>
      <c r="J3" s="18" t="s">
        <v>14</v>
      </c>
      <c r="K3" s="19" t="s">
        <v>15</v>
      </c>
      <c r="L3" s="19" t="s">
        <v>16</v>
      </c>
      <c r="M3" s="20" t="s">
        <v>17</v>
      </c>
      <c r="N3" s="21" t="s">
        <v>18</v>
      </c>
      <c r="O3" s="15" t="s">
        <v>19</v>
      </c>
      <c r="P3" s="15" t="s">
        <v>20</v>
      </c>
      <c r="Q3" s="15" t="s">
        <v>21</v>
      </c>
      <c r="R3" s="22" t="s">
        <v>22</v>
      </c>
      <c r="S3" s="23" t="s">
        <v>23</v>
      </c>
      <c r="T3" s="24" t="s">
        <v>24</v>
      </c>
      <c r="U3" s="25" t="s">
        <v>25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s="13" customFormat="true" ht="30" hidden="false" customHeight="true" outlineLevel="0" collapsed="false">
      <c r="A4" s="6"/>
      <c r="B4" s="26" t="s">
        <v>26</v>
      </c>
      <c r="C4" s="26"/>
      <c r="D4" s="26"/>
      <c r="E4" s="27"/>
      <c r="F4" s="27"/>
      <c r="G4" s="28"/>
      <c r="H4" s="29"/>
      <c r="I4" s="30"/>
      <c r="J4" s="31"/>
      <c r="K4" s="32"/>
      <c r="L4" s="32"/>
      <c r="M4" s="32"/>
      <c r="N4" s="33"/>
      <c r="O4" s="33"/>
      <c r="P4" s="33"/>
      <c r="Q4" s="33"/>
      <c r="R4" s="34"/>
      <c r="S4" s="35"/>
      <c r="T4" s="36"/>
      <c r="U4" s="3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 s="13" customFormat="true" ht="30" hidden="false" customHeight="true" outlineLevel="0" collapsed="false">
      <c r="A5" s="6"/>
      <c r="B5" s="37" t="s">
        <v>27</v>
      </c>
      <c r="C5" s="37" t="s">
        <v>28</v>
      </c>
      <c r="D5" s="38" t="s">
        <v>29</v>
      </c>
      <c r="E5" s="39" t="n">
        <v>46082</v>
      </c>
      <c r="F5" s="39" t="n">
        <v>46082</v>
      </c>
      <c r="G5" s="40" t="n">
        <v>46091</v>
      </c>
      <c r="H5" s="41" t="n">
        <v>2</v>
      </c>
      <c r="I5" s="42" t="n">
        <v>40</v>
      </c>
      <c r="J5" s="43" t="n">
        <f aca="false">H5*I5</f>
        <v>80</v>
      </c>
      <c r="K5" s="44" t="n">
        <v>35000</v>
      </c>
      <c r="L5" s="45" t="n">
        <f aca="false">J5*K5</f>
        <v>2800000</v>
      </c>
      <c r="M5" s="46" t="n">
        <v>0</v>
      </c>
      <c r="N5" s="44" t="n">
        <v>0</v>
      </c>
      <c r="O5" s="45" t="n">
        <f aca="false">M5*N5</f>
        <v>0</v>
      </c>
      <c r="P5" s="47" t="n">
        <v>0</v>
      </c>
      <c r="Q5" s="47" t="n">
        <v>0</v>
      </c>
      <c r="R5" s="48" t="n">
        <v>0</v>
      </c>
      <c r="S5" s="49" t="n">
        <v>3000000</v>
      </c>
      <c r="T5" s="50" t="n">
        <f aca="false">L5+O5+P5+Q5+R5</f>
        <v>2800000</v>
      </c>
      <c r="U5" s="51" t="n">
        <f aca="false">T5-S5</f>
        <v>-200000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s="13" customFormat="true" ht="30" hidden="false" customHeight="true" outlineLevel="0" collapsed="false">
      <c r="A6" s="6"/>
      <c r="B6" s="37" t="s">
        <v>30</v>
      </c>
      <c r="C6" s="37" t="s">
        <v>31</v>
      </c>
      <c r="D6" s="38" t="s">
        <v>29</v>
      </c>
      <c r="E6" s="39" t="n">
        <v>46092</v>
      </c>
      <c r="F6" s="39" t="n">
        <v>46092</v>
      </c>
      <c r="G6" s="40" t="n">
        <v>46101</v>
      </c>
      <c r="H6" s="41" t="n">
        <v>3</v>
      </c>
      <c r="I6" s="42" t="n">
        <v>30</v>
      </c>
      <c r="J6" s="43" t="n">
        <f aca="false">H6*I6</f>
        <v>90</v>
      </c>
      <c r="K6" s="44" t="n">
        <v>35000</v>
      </c>
      <c r="L6" s="45" t="n">
        <f aca="false">J6*K6</f>
        <v>3150000</v>
      </c>
      <c r="M6" s="46" t="n">
        <v>0</v>
      </c>
      <c r="N6" s="44" t="n">
        <v>0</v>
      </c>
      <c r="O6" s="45" t="n">
        <f aca="false">M6*N6</f>
        <v>0</v>
      </c>
      <c r="P6" s="47" t="n">
        <v>0</v>
      </c>
      <c r="Q6" s="47" t="n">
        <v>0</v>
      </c>
      <c r="R6" s="48" t="n">
        <v>0</v>
      </c>
      <c r="S6" s="49" t="n">
        <v>3500000</v>
      </c>
      <c r="T6" s="50" t="n">
        <f aca="false">L6+O6+P6+Q6+R6</f>
        <v>3150000</v>
      </c>
      <c r="U6" s="51" t="n">
        <f aca="false">T6-S6</f>
        <v>-350000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 s="13" customFormat="true" ht="30" hidden="false" customHeight="true" outlineLevel="0" collapsed="false">
      <c r="A7" s="6"/>
      <c r="B7" s="37" t="s">
        <v>32</v>
      </c>
      <c r="C7" s="37" t="s">
        <v>33</v>
      </c>
      <c r="D7" s="38" t="s">
        <v>29</v>
      </c>
      <c r="E7" s="39" t="n">
        <v>46102</v>
      </c>
      <c r="F7" s="39" t="n">
        <v>46102</v>
      </c>
      <c r="G7" s="40" t="n">
        <v>46111</v>
      </c>
      <c r="H7" s="41" t="n">
        <v>3</v>
      </c>
      <c r="I7" s="42" t="n">
        <v>30</v>
      </c>
      <c r="J7" s="43" t="n">
        <f aca="false">H7*I7</f>
        <v>90</v>
      </c>
      <c r="K7" s="44" t="n">
        <v>35000</v>
      </c>
      <c r="L7" s="45" t="n">
        <f aca="false">J7*K7</f>
        <v>3150000</v>
      </c>
      <c r="M7" s="46" t="n">
        <v>0</v>
      </c>
      <c r="N7" s="44" t="n">
        <v>0</v>
      </c>
      <c r="O7" s="45" t="n">
        <f aca="false">M7*N7</f>
        <v>0</v>
      </c>
      <c r="P7" s="47" t="n">
        <v>0</v>
      </c>
      <c r="Q7" s="47" t="n">
        <v>0</v>
      </c>
      <c r="R7" s="48" t="n">
        <v>0</v>
      </c>
      <c r="S7" s="49" t="n">
        <v>3500000</v>
      </c>
      <c r="T7" s="50" t="n">
        <f aca="false">L7+O7+P7+Q7+R7</f>
        <v>3150000</v>
      </c>
      <c r="U7" s="51" t="n">
        <f aca="false">T7-S7</f>
        <v>-350000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s="13" customFormat="true" ht="30" hidden="false" customHeight="true" outlineLevel="0" collapsed="false">
      <c r="A8" s="6"/>
      <c r="B8" s="37" t="s">
        <v>34</v>
      </c>
      <c r="C8" s="37" t="s">
        <v>35</v>
      </c>
      <c r="D8" s="38" t="s">
        <v>29</v>
      </c>
      <c r="E8" s="39" t="n">
        <v>46112</v>
      </c>
      <c r="F8" s="39" t="n">
        <v>46112</v>
      </c>
      <c r="G8" s="40" t="n">
        <v>46121</v>
      </c>
      <c r="H8" s="41" t="n">
        <v>3</v>
      </c>
      <c r="I8" s="42" t="n">
        <v>40</v>
      </c>
      <c r="J8" s="43" t="n">
        <f aca="false">H8*I8</f>
        <v>120</v>
      </c>
      <c r="K8" s="44" t="n">
        <v>40000</v>
      </c>
      <c r="L8" s="45" t="n">
        <f aca="false">J8*K8</f>
        <v>4800000</v>
      </c>
      <c r="M8" s="46" t="n">
        <v>0</v>
      </c>
      <c r="N8" s="44" t="n">
        <v>0</v>
      </c>
      <c r="O8" s="45" t="n">
        <f aca="false">M8*N8</f>
        <v>0</v>
      </c>
      <c r="P8" s="47" t="n">
        <v>0</v>
      </c>
      <c r="Q8" s="47" t="n">
        <v>0</v>
      </c>
      <c r="R8" s="48" t="n">
        <v>100000</v>
      </c>
      <c r="S8" s="49" t="n">
        <v>5000000</v>
      </c>
      <c r="T8" s="50" t="n">
        <f aca="false">L8+O8+P8+Q8+R8</f>
        <v>4900000</v>
      </c>
      <c r="U8" s="51" t="n">
        <f aca="false">T8-S8</f>
        <v>-100000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="13" customFormat="true" ht="30" hidden="false" customHeight="true" outlineLevel="0" collapsed="false">
      <c r="A9" s="6"/>
      <c r="B9" s="37" t="s">
        <v>36</v>
      </c>
      <c r="C9" s="37" t="s">
        <v>37</v>
      </c>
      <c r="D9" s="38" t="s">
        <v>29</v>
      </c>
      <c r="E9" s="39" t="n">
        <v>46122</v>
      </c>
      <c r="F9" s="39" t="n">
        <v>46122</v>
      </c>
      <c r="G9" s="40" t="n">
        <v>46131</v>
      </c>
      <c r="H9" s="41" t="n">
        <v>2</v>
      </c>
      <c r="I9" s="42" t="n">
        <v>40</v>
      </c>
      <c r="J9" s="43" t="n">
        <f aca="false">H9*I9</f>
        <v>80</v>
      </c>
      <c r="K9" s="44" t="n">
        <v>40000</v>
      </c>
      <c r="L9" s="45" t="n">
        <f aca="false">J9*K9</f>
        <v>3200000</v>
      </c>
      <c r="M9" s="46" t="n">
        <v>2</v>
      </c>
      <c r="N9" s="44" t="n">
        <v>250000</v>
      </c>
      <c r="O9" s="45" t="n">
        <f aca="false">M9*N9</f>
        <v>500000</v>
      </c>
      <c r="P9" s="47" t="n">
        <v>0</v>
      </c>
      <c r="Q9" s="47" t="n">
        <v>0</v>
      </c>
      <c r="R9" s="48" t="n">
        <v>150000</v>
      </c>
      <c r="S9" s="49" t="n">
        <v>4000000</v>
      </c>
      <c r="T9" s="50" t="n">
        <f aca="false">L9+O9+P9+Q9+R9</f>
        <v>3850000</v>
      </c>
      <c r="U9" s="51" t="n">
        <f aca="false">T9-S9</f>
        <v>-150000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s="13" customFormat="true" ht="30" hidden="false" customHeight="true" outlineLevel="0" collapsed="false">
      <c r="A10" s="6"/>
      <c r="B10" s="37" t="s">
        <v>38</v>
      </c>
      <c r="C10" s="37" t="s">
        <v>39</v>
      </c>
      <c r="D10" s="38" t="s">
        <v>29</v>
      </c>
      <c r="E10" s="39" t="n">
        <v>46132</v>
      </c>
      <c r="F10" s="39" t="n">
        <v>46132</v>
      </c>
      <c r="G10" s="40" t="n">
        <v>46141</v>
      </c>
      <c r="H10" s="41" t="n">
        <v>2</v>
      </c>
      <c r="I10" s="42" t="n">
        <v>30</v>
      </c>
      <c r="J10" s="43" t="n">
        <f aca="false">H10*I10</f>
        <v>60</v>
      </c>
      <c r="K10" s="44" t="n">
        <v>45000</v>
      </c>
      <c r="L10" s="45" t="n">
        <f aca="false">J10*K10</f>
        <v>2700000</v>
      </c>
      <c r="M10" s="46" t="n">
        <v>0</v>
      </c>
      <c r="N10" s="44" t="n">
        <v>0</v>
      </c>
      <c r="O10" s="45" t="n">
        <f aca="false">M10*N10</f>
        <v>0</v>
      </c>
      <c r="P10" s="47" t="n">
        <v>0</v>
      </c>
      <c r="Q10" s="47" t="n">
        <v>0</v>
      </c>
      <c r="R10" s="48" t="n">
        <v>80000</v>
      </c>
      <c r="S10" s="49" t="n">
        <v>3000000</v>
      </c>
      <c r="T10" s="50" t="n">
        <f aca="false">L10+O10+P10+Q10+R10</f>
        <v>2780000</v>
      </c>
      <c r="U10" s="51" t="n">
        <f aca="false">T10-S10</f>
        <v>-220000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 s="13" customFormat="true" ht="30" hidden="false" customHeight="true" outlineLevel="0" collapsed="false">
      <c r="A11" s="6"/>
      <c r="B11" s="37" t="s">
        <v>40</v>
      </c>
      <c r="C11" s="37" t="s">
        <v>41</v>
      </c>
      <c r="D11" s="38" t="s">
        <v>29</v>
      </c>
      <c r="E11" s="39" t="n">
        <v>46142</v>
      </c>
      <c r="F11" s="39" t="n">
        <v>46142</v>
      </c>
      <c r="G11" s="40" t="n">
        <v>46151</v>
      </c>
      <c r="H11" s="41" t="n">
        <v>1</v>
      </c>
      <c r="I11" s="42" t="n">
        <v>15</v>
      </c>
      <c r="J11" s="43" t="n">
        <f aca="false">H11*I11</f>
        <v>15</v>
      </c>
      <c r="K11" s="44" t="n">
        <v>55000</v>
      </c>
      <c r="L11" s="45" t="n">
        <f aca="false">J11*K11</f>
        <v>825000</v>
      </c>
      <c r="M11" s="46" t="n">
        <v>1</v>
      </c>
      <c r="N11" s="44" t="n">
        <v>120000</v>
      </c>
      <c r="O11" s="45" t="n">
        <f aca="false">M11*N11</f>
        <v>120000</v>
      </c>
      <c r="P11" s="47" t="n">
        <v>0</v>
      </c>
      <c r="Q11" s="47" t="n">
        <v>0</v>
      </c>
      <c r="R11" s="48" t="n">
        <v>50000</v>
      </c>
      <c r="S11" s="49" t="n">
        <v>1000000</v>
      </c>
      <c r="T11" s="50" t="n">
        <f aca="false">L11+O11+P11+Q11+R11</f>
        <v>995000</v>
      </c>
      <c r="U11" s="51" t="n">
        <f aca="false">T11-S11</f>
        <v>-5000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s="13" customFormat="true" ht="30" hidden="false" customHeight="true" outlineLevel="0" collapsed="false">
      <c r="A12" s="6"/>
      <c r="B12" s="52" t="s">
        <v>42</v>
      </c>
      <c r="C12" s="52"/>
      <c r="D12" s="53"/>
      <c r="E12" s="54"/>
      <c r="F12" s="54"/>
      <c r="G12" s="55"/>
      <c r="H12" s="56"/>
      <c r="I12" s="57"/>
      <c r="J12" s="57"/>
      <c r="K12" s="58"/>
      <c r="L12" s="59" t="n">
        <f aca="false">SUM(L5:L11)</f>
        <v>20625000</v>
      </c>
      <c r="M12" s="60"/>
      <c r="N12" s="61"/>
      <c r="O12" s="59" t="n">
        <f aca="false">SUM(O5:O11)</f>
        <v>620000</v>
      </c>
      <c r="P12" s="62" t="n">
        <f aca="false">SUM(P5:P11)</f>
        <v>0</v>
      </c>
      <c r="Q12" s="62" t="n">
        <f aca="false">SUM(Q5:Q11)</f>
        <v>0</v>
      </c>
      <c r="R12" s="63" t="n">
        <f aca="false">SUM(R5:R11)</f>
        <v>380000</v>
      </c>
      <c r="S12" s="64" t="n">
        <f aca="false">SUM(S5:S11)</f>
        <v>23000000</v>
      </c>
      <c r="T12" s="65" t="n">
        <f aca="false">SUM(L12:R12)</f>
        <v>21625000</v>
      </c>
      <c r="U12" s="66" t="n">
        <f aca="false">T12-S12</f>
        <v>-1375000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="13" customFormat="true" ht="10.5" hidden="false" customHeight="true" outlineLevel="0" collapsed="false">
      <c r="A13" s="6"/>
      <c r="B13" s="37"/>
      <c r="C13" s="37"/>
      <c r="D13" s="38"/>
      <c r="E13" s="67"/>
      <c r="F13" s="67"/>
      <c r="G13" s="68"/>
      <c r="H13" s="69"/>
      <c r="I13" s="43"/>
      <c r="J13" s="43"/>
      <c r="K13" s="70"/>
      <c r="L13" s="71"/>
      <c r="M13" s="46"/>
      <c r="N13" s="70"/>
      <c r="O13" s="71"/>
      <c r="P13" s="72"/>
      <c r="Q13" s="72"/>
      <c r="R13" s="73"/>
      <c r="S13" s="74"/>
      <c r="T13" s="75"/>
      <c r="U13" s="7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="13" customFormat="true" ht="34.5" hidden="false" customHeight="true" outlineLevel="0" collapsed="false">
      <c r="A14" s="6"/>
      <c r="B14" s="7" t="s">
        <v>1</v>
      </c>
      <c r="C14" s="7"/>
      <c r="D14" s="7"/>
      <c r="E14" s="7"/>
      <c r="F14" s="7"/>
      <c r="G14" s="8"/>
      <c r="H14" s="9"/>
      <c r="I14" s="77" t="s">
        <v>2</v>
      </c>
      <c r="J14" s="77"/>
      <c r="K14" s="77"/>
      <c r="L14" s="77"/>
      <c r="M14" s="78" t="s">
        <v>3</v>
      </c>
      <c r="N14" s="78"/>
      <c r="O14" s="78"/>
      <c r="P14" s="79" t="s">
        <v>4</v>
      </c>
      <c r="Q14" s="79"/>
      <c r="R14" s="79"/>
      <c r="S14" s="80" t="s">
        <v>5</v>
      </c>
      <c r="T14" s="80"/>
      <c r="U14" s="80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="13" customFormat="true" ht="34.5" hidden="false" customHeight="true" outlineLevel="0" collapsed="false">
      <c r="A15" s="6"/>
      <c r="B15" s="14" t="s">
        <v>6</v>
      </c>
      <c r="C15" s="14" t="s">
        <v>7</v>
      </c>
      <c r="D15" s="14" t="s">
        <v>8</v>
      </c>
      <c r="E15" s="15" t="s">
        <v>9</v>
      </c>
      <c r="F15" s="15" t="s">
        <v>10</v>
      </c>
      <c r="G15" s="16" t="s">
        <v>11</v>
      </c>
      <c r="H15" s="17" t="s">
        <v>12</v>
      </c>
      <c r="I15" s="81" t="s">
        <v>13</v>
      </c>
      <c r="J15" s="81" t="s">
        <v>14</v>
      </c>
      <c r="K15" s="82" t="s">
        <v>15</v>
      </c>
      <c r="L15" s="82" t="s">
        <v>16</v>
      </c>
      <c r="M15" s="83" t="s">
        <v>17</v>
      </c>
      <c r="N15" s="84" t="s">
        <v>18</v>
      </c>
      <c r="O15" s="85" t="s">
        <v>19</v>
      </c>
      <c r="P15" s="86" t="s">
        <v>20</v>
      </c>
      <c r="Q15" s="86" t="s">
        <v>21</v>
      </c>
      <c r="R15" s="87" t="s">
        <v>22</v>
      </c>
      <c r="S15" s="88" t="s">
        <v>23</v>
      </c>
      <c r="T15" s="89" t="s">
        <v>24</v>
      </c>
      <c r="U15" s="90" t="s">
        <v>25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="13" customFormat="true" ht="30" hidden="false" customHeight="true" outlineLevel="0" collapsed="false">
      <c r="A16" s="6"/>
      <c r="B16" s="26" t="s">
        <v>43</v>
      </c>
      <c r="C16" s="26"/>
      <c r="D16" s="26"/>
      <c r="E16" s="27"/>
      <c r="F16" s="27"/>
      <c r="G16" s="28"/>
      <c r="H16" s="29"/>
      <c r="I16" s="30"/>
      <c r="J16" s="31"/>
      <c r="K16" s="32"/>
      <c r="L16" s="32"/>
      <c r="M16" s="32"/>
      <c r="N16" s="33"/>
      <c r="O16" s="33"/>
      <c r="P16" s="33"/>
      <c r="Q16" s="33"/>
      <c r="R16" s="34"/>
      <c r="S16" s="35"/>
      <c r="T16" s="36"/>
      <c r="U16" s="3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 s="13" customFormat="true" ht="30" hidden="false" customHeight="true" outlineLevel="0" collapsed="false">
      <c r="A17" s="6"/>
      <c r="B17" s="91" t="s">
        <v>44</v>
      </c>
      <c r="C17" s="91" t="s">
        <v>45</v>
      </c>
      <c r="D17" s="38" t="s">
        <v>46</v>
      </c>
      <c r="E17" s="92" t="n">
        <v>46152</v>
      </c>
      <c r="F17" s="92" t="n">
        <v>46152</v>
      </c>
      <c r="G17" s="93" t="n">
        <v>46165</v>
      </c>
      <c r="H17" s="94" t="n">
        <v>2</v>
      </c>
      <c r="I17" s="95" t="n">
        <v>20</v>
      </c>
      <c r="J17" s="96" t="n">
        <f aca="false">H17*I17</f>
        <v>40</v>
      </c>
      <c r="K17" s="97" t="n">
        <v>40000</v>
      </c>
      <c r="L17" s="98" t="n">
        <f aca="false">J17*K17</f>
        <v>1600000</v>
      </c>
      <c r="M17" s="99" t="n">
        <v>1</v>
      </c>
      <c r="N17" s="97" t="n">
        <v>300000</v>
      </c>
      <c r="O17" s="98" t="n">
        <f aca="false">M17*N17</f>
        <v>300000</v>
      </c>
      <c r="P17" s="97" t="n">
        <v>0</v>
      </c>
      <c r="Q17" s="97" t="n">
        <v>0</v>
      </c>
      <c r="R17" s="100" t="n">
        <v>50000</v>
      </c>
      <c r="S17" s="101" t="n">
        <v>2000000</v>
      </c>
      <c r="T17" s="102" t="n">
        <f aca="false">L17+O17+P17+Q17+R17</f>
        <v>1950000</v>
      </c>
      <c r="U17" s="103" t="n">
        <f aca="false">T17-S17</f>
        <v>-50000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s="13" customFormat="true" ht="30" hidden="false" customHeight="true" outlineLevel="0" collapsed="false">
      <c r="A18" s="6"/>
      <c r="B18" s="91" t="s">
        <v>47</v>
      </c>
      <c r="C18" s="91" t="s">
        <v>48</v>
      </c>
      <c r="D18" s="38" t="s">
        <v>46</v>
      </c>
      <c r="E18" s="92" t="n">
        <v>46166</v>
      </c>
      <c r="F18" s="92" t="n">
        <v>46166</v>
      </c>
      <c r="G18" s="93" t="n">
        <v>46179</v>
      </c>
      <c r="H18" s="94" t="n">
        <v>2</v>
      </c>
      <c r="I18" s="95" t="n">
        <v>50</v>
      </c>
      <c r="J18" s="96" t="n">
        <f aca="false">H18*I18</f>
        <v>100</v>
      </c>
      <c r="K18" s="97" t="n">
        <v>45000</v>
      </c>
      <c r="L18" s="98" t="n">
        <f aca="false">J18*K18</f>
        <v>4500000</v>
      </c>
      <c r="M18" s="99" t="n">
        <v>1</v>
      </c>
      <c r="N18" s="97" t="n">
        <v>200000</v>
      </c>
      <c r="O18" s="98" t="n">
        <f aca="false">M18*N18</f>
        <v>200000</v>
      </c>
      <c r="P18" s="97" t="n">
        <v>0</v>
      </c>
      <c r="Q18" s="97" t="n">
        <v>0</v>
      </c>
      <c r="R18" s="100" t="n">
        <v>100000</v>
      </c>
      <c r="S18" s="101" t="n">
        <v>5000000</v>
      </c>
      <c r="T18" s="102" t="n">
        <f aca="false">L18+O18+P18+Q18+R18</f>
        <v>4800000</v>
      </c>
      <c r="U18" s="103" t="n">
        <f aca="false">T18-S18</f>
        <v>-200000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s="13" customFormat="true" ht="30" hidden="false" customHeight="true" outlineLevel="0" collapsed="false">
      <c r="A19" s="6"/>
      <c r="B19" s="37" t="s">
        <v>49</v>
      </c>
      <c r="C19" s="37" t="s">
        <v>50</v>
      </c>
      <c r="D19" s="38" t="s">
        <v>46</v>
      </c>
      <c r="E19" s="39" t="n">
        <v>46180</v>
      </c>
      <c r="F19" s="39" t="n">
        <v>46180</v>
      </c>
      <c r="G19" s="40" t="n">
        <v>46193</v>
      </c>
      <c r="H19" s="41" t="n">
        <v>2</v>
      </c>
      <c r="I19" s="42" t="n">
        <v>60</v>
      </c>
      <c r="J19" s="43" t="n">
        <f aca="false">H19*I19</f>
        <v>120</v>
      </c>
      <c r="K19" s="44" t="n">
        <v>55000</v>
      </c>
      <c r="L19" s="45" t="n">
        <f aca="false">J19*K19</f>
        <v>6600000</v>
      </c>
      <c r="M19" s="46" t="n">
        <v>0</v>
      </c>
      <c r="N19" s="44" t="n">
        <v>0</v>
      </c>
      <c r="O19" s="45" t="n">
        <f aca="false">M19*N19</f>
        <v>0</v>
      </c>
      <c r="P19" s="47" t="n">
        <v>0</v>
      </c>
      <c r="Q19" s="47" t="n">
        <v>1500000</v>
      </c>
      <c r="R19" s="48" t="n">
        <v>200000</v>
      </c>
      <c r="S19" s="49" t="n">
        <v>7000000</v>
      </c>
      <c r="T19" s="50" t="n">
        <f aca="false">L19+O19+P19+Q19+R19</f>
        <v>8300000</v>
      </c>
      <c r="U19" s="51" t="n">
        <f aca="false">T19-S19</f>
        <v>1300000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s="13" customFormat="true" ht="30" hidden="false" customHeight="true" outlineLevel="0" collapsed="false">
      <c r="A20" s="6"/>
      <c r="B20" s="37" t="s">
        <v>51</v>
      </c>
      <c r="C20" s="37" t="s">
        <v>52</v>
      </c>
      <c r="D20" s="38" t="s">
        <v>46</v>
      </c>
      <c r="E20" s="39" t="n">
        <v>46194</v>
      </c>
      <c r="F20" s="39" t="n">
        <v>46194</v>
      </c>
      <c r="G20" s="40" t="n">
        <v>46207</v>
      </c>
      <c r="H20" s="41" t="n">
        <v>2</v>
      </c>
      <c r="I20" s="42" t="n">
        <v>40</v>
      </c>
      <c r="J20" s="43" t="n">
        <f aca="false">H20*I20</f>
        <v>80</v>
      </c>
      <c r="K20" s="44" t="n">
        <v>45000</v>
      </c>
      <c r="L20" s="45" t="n">
        <f aca="false">J20*K20</f>
        <v>3600000</v>
      </c>
      <c r="M20" s="46" t="n">
        <v>0</v>
      </c>
      <c r="N20" s="44" t="n">
        <v>0</v>
      </c>
      <c r="O20" s="45" t="n">
        <f aca="false">M20*N20</f>
        <v>0</v>
      </c>
      <c r="P20" s="47" t="n">
        <v>0</v>
      </c>
      <c r="Q20" s="47" t="n">
        <v>0</v>
      </c>
      <c r="R20" s="48" t="n">
        <v>120000</v>
      </c>
      <c r="S20" s="49" t="n">
        <v>4000000</v>
      </c>
      <c r="T20" s="50" t="n">
        <f aca="false">L20+O20+P20+Q20+R20</f>
        <v>3720000</v>
      </c>
      <c r="U20" s="51" t="n">
        <f aca="false">T20-S20</f>
        <v>-280000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s="13" customFormat="true" ht="30" hidden="false" customHeight="true" outlineLevel="0" collapsed="false">
      <c r="A21" s="6"/>
      <c r="B21" s="37" t="s">
        <v>53</v>
      </c>
      <c r="C21" s="37" t="s">
        <v>54</v>
      </c>
      <c r="D21" s="38" t="s">
        <v>46</v>
      </c>
      <c r="E21" s="39" t="n">
        <v>46208</v>
      </c>
      <c r="F21" s="39" t="n">
        <v>46208</v>
      </c>
      <c r="G21" s="40" t="n">
        <v>46221</v>
      </c>
      <c r="H21" s="41" t="n">
        <v>2</v>
      </c>
      <c r="I21" s="42" t="n">
        <v>40</v>
      </c>
      <c r="J21" s="43" t="n">
        <f aca="false">H21*I21</f>
        <v>80</v>
      </c>
      <c r="K21" s="44" t="n">
        <v>45000</v>
      </c>
      <c r="L21" s="45" t="n">
        <f aca="false">J21*K21</f>
        <v>3600000</v>
      </c>
      <c r="M21" s="46" t="n">
        <v>0</v>
      </c>
      <c r="N21" s="44" t="n">
        <v>0</v>
      </c>
      <c r="O21" s="45" t="n">
        <f aca="false">M21*N21</f>
        <v>0</v>
      </c>
      <c r="P21" s="47" t="n">
        <v>0</v>
      </c>
      <c r="Q21" s="47" t="n">
        <v>0</v>
      </c>
      <c r="R21" s="48" t="n">
        <v>100000</v>
      </c>
      <c r="S21" s="49" t="n">
        <v>4000000</v>
      </c>
      <c r="T21" s="50" t="n">
        <f aca="false">L21+O21+P21+Q21+R21</f>
        <v>3700000</v>
      </c>
      <c r="U21" s="51" t="n">
        <f aca="false">T21-S21</f>
        <v>-300000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s="13" customFormat="true" ht="30" hidden="false" customHeight="true" outlineLevel="0" collapsed="false">
      <c r="A22" s="6"/>
      <c r="B22" s="37" t="s">
        <v>55</v>
      </c>
      <c r="C22" s="37" t="s">
        <v>56</v>
      </c>
      <c r="D22" s="38" t="s">
        <v>46</v>
      </c>
      <c r="E22" s="39" t="n">
        <v>46222</v>
      </c>
      <c r="F22" s="39" t="n">
        <v>46222</v>
      </c>
      <c r="G22" s="40" t="n">
        <v>46235</v>
      </c>
      <c r="H22" s="41" t="n">
        <v>2</v>
      </c>
      <c r="I22" s="42" t="n">
        <v>50</v>
      </c>
      <c r="J22" s="43" t="n">
        <f aca="false">H22*I22</f>
        <v>100</v>
      </c>
      <c r="K22" s="44" t="n">
        <v>60000</v>
      </c>
      <c r="L22" s="45" t="n">
        <f aca="false">J22*K22</f>
        <v>6000000</v>
      </c>
      <c r="M22" s="46" t="n">
        <v>0</v>
      </c>
      <c r="N22" s="44" t="n">
        <v>0</v>
      </c>
      <c r="O22" s="45" t="n">
        <f aca="false">M22*N22</f>
        <v>0</v>
      </c>
      <c r="P22" s="47" t="n">
        <v>0</v>
      </c>
      <c r="Q22" s="47" t="n">
        <v>0</v>
      </c>
      <c r="R22" s="48" t="n">
        <v>200000</v>
      </c>
      <c r="S22" s="49" t="n">
        <v>6500000</v>
      </c>
      <c r="T22" s="50" t="n">
        <f aca="false">L22+O22+P22+Q22+R22</f>
        <v>6200000</v>
      </c>
      <c r="U22" s="51" t="n">
        <f aca="false">T22-S22</f>
        <v>-300000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s="13" customFormat="true" ht="30" hidden="false" customHeight="true" outlineLevel="0" collapsed="false">
      <c r="A23" s="6"/>
      <c r="B23" s="37" t="s">
        <v>57</v>
      </c>
      <c r="C23" s="37" t="s">
        <v>58</v>
      </c>
      <c r="D23" s="38" t="s">
        <v>46</v>
      </c>
      <c r="E23" s="39" t="n">
        <v>46236</v>
      </c>
      <c r="F23" s="39" t="n">
        <v>46236</v>
      </c>
      <c r="G23" s="40" t="n">
        <v>46249</v>
      </c>
      <c r="H23" s="41" t="n">
        <v>2</v>
      </c>
      <c r="I23" s="42" t="n">
        <v>30</v>
      </c>
      <c r="J23" s="43" t="n">
        <f aca="false">H23*I23</f>
        <v>60</v>
      </c>
      <c r="K23" s="44" t="n">
        <v>40000</v>
      </c>
      <c r="L23" s="45" t="n">
        <f aca="false">J23*K23</f>
        <v>2400000</v>
      </c>
      <c r="M23" s="46" t="n">
        <v>0</v>
      </c>
      <c r="N23" s="44" t="n">
        <v>0</v>
      </c>
      <c r="O23" s="45" t="n">
        <f aca="false">M23*N23</f>
        <v>0</v>
      </c>
      <c r="P23" s="47" t="n">
        <v>200000</v>
      </c>
      <c r="Q23" s="47" t="n">
        <v>0</v>
      </c>
      <c r="R23" s="48" t="n">
        <v>80000</v>
      </c>
      <c r="S23" s="49" t="n">
        <v>3000000</v>
      </c>
      <c r="T23" s="50" t="n">
        <f aca="false">L23+O23+P23+Q23+R23</f>
        <v>2680000</v>
      </c>
      <c r="U23" s="51" t="n">
        <f aca="false">T23-S23</f>
        <v>-320000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s="13" customFormat="true" ht="30" hidden="false" customHeight="true" outlineLevel="0" collapsed="false">
      <c r="A24" s="6"/>
      <c r="B24" s="37" t="s">
        <v>59</v>
      </c>
      <c r="C24" s="37" t="s">
        <v>60</v>
      </c>
      <c r="D24" s="38" t="s">
        <v>46</v>
      </c>
      <c r="E24" s="39" t="n">
        <v>46250</v>
      </c>
      <c r="F24" s="39" t="n">
        <v>46250</v>
      </c>
      <c r="G24" s="40" t="n">
        <v>46263</v>
      </c>
      <c r="H24" s="41" t="n">
        <v>1</v>
      </c>
      <c r="I24" s="42" t="n">
        <v>25</v>
      </c>
      <c r="J24" s="43" t="n">
        <f aca="false">H24*I24</f>
        <v>25</v>
      </c>
      <c r="K24" s="44" t="n">
        <v>55000</v>
      </c>
      <c r="L24" s="45" t="n">
        <f aca="false">J24*K24</f>
        <v>1375000</v>
      </c>
      <c r="M24" s="46" t="n">
        <v>0</v>
      </c>
      <c r="N24" s="44" t="n">
        <v>0</v>
      </c>
      <c r="O24" s="45" t="n">
        <f aca="false">M24*N24</f>
        <v>0</v>
      </c>
      <c r="P24" s="47" t="n">
        <v>0</v>
      </c>
      <c r="Q24" s="47" t="n">
        <v>2000000</v>
      </c>
      <c r="R24" s="48" t="n">
        <v>150000</v>
      </c>
      <c r="S24" s="49" t="n">
        <v>4000000</v>
      </c>
      <c r="T24" s="50" t="n">
        <f aca="false">L24+O24+P24+Q24+R24</f>
        <v>3525000</v>
      </c>
      <c r="U24" s="51" t="n">
        <f aca="false">T24-S24</f>
        <v>-475000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s="13" customFormat="true" ht="30" hidden="false" customHeight="true" outlineLevel="0" collapsed="false">
      <c r="A25" s="6"/>
      <c r="B25" s="104" t="s">
        <v>61</v>
      </c>
      <c r="C25" s="104"/>
      <c r="D25" s="7"/>
      <c r="E25" s="104"/>
      <c r="F25" s="104"/>
      <c r="G25" s="105"/>
      <c r="H25" s="106"/>
      <c r="I25" s="107"/>
      <c r="J25" s="107"/>
      <c r="K25" s="108"/>
      <c r="L25" s="109" t="n">
        <f aca="false">SUM(L17:L24)</f>
        <v>29675000</v>
      </c>
      <c r="M25" s="78"/>
      <c r="N25" s="110"/>
      <c r="O25" s="111" t="n">
        <f aca="false">SUM(O17:O24)</f>
        <v>500000</v>
      </c>
      <c r="P25" s="112" t="n">
        <f aca="false">SUM(P17:P24)</f>
        <v>200000</v>
      </c>
      <c r="Q25" s="113" t="n">
        <f aca="false">SUM(Q17:Q24)</f>
        <v>3500000</v>
      </c>
      <c r="R25" s="114" t="n">
        <f aca="false">SUM(R17:R24)</f>
        <v>1000000</v>
      </c>
      <c r="S25" s="115" t="n">
        <f aca="false">SUM(S17:S24)</f>
        <v>35500000</v>
      </c>
      <c r="T25" s="116" t="n">
        <f aca="false">SUM(L25:R25)</f>
        <v>34875000</v>
      </c>
      <c r="U25" s="117" t="n">
        <f aca="false">T25-S25</f>
        <v>-625000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s="13" customFormat="true" ht="10.5" hidden="false" customHeight="true" outlineLevel="0" collapsed="false">
      <c r="A26" s="6"/>
      <c r="B26" s="37"/>
      <c r="C26" s="37"/>
      <c r="D26" s="38"/>
      <c r="E26" s="67"/>
      <c r="F26" s="67"/>
      <c r="G26" s="118"/>
      <c r="H26" s="119"/>
      <c r="I26" s="43"/>
      <c r="J26" s="43"/>
      <c r="K26" s="70"/>
      <c r="L26" s="71"/>
      <c r="M26" s="46"/>
      <c r="N26" s="70"/>
      <c r="O26" s="71"/>
      <c r="P26" s="72"/>
      <c r="Q26" s="72"/>
      <c r="R26" s="73"/>
      <c r="S26" s="74"/>
      <c r="T26" s="75"/>
      <c r="U26" s="7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s="13" customFormat="true" ht="34.5" hidden="false" customHeight="true" outlineLevel="0" collapsed="false">
      <c r="A27" s="6"/>
      <c r="B27" s="104" t="s">
        <v>1</v>
      </c>
      <c r="C27" s="104"/>
      <c r="D27" s="7"/>
      <c r="E27" s="104"/>
      <c r="F27" s="104"/>
      <c r="G27" s="105"/>
      <c r="H27" s="106"/>
      <c r="I27" s="77" t="s">
        <v>2</v>
      </c>
      <c r="J27" s="77"/>
      <c r="K27" s="77"/>
      <c r="L27" s="77"/>
      <c r="M27" s="78" t="s">
        <v>3</v>
      </c>
      <c r="N27" s="78"/>
      <c r="O27" s="78"/>
      <c r="P27" s="79" t="s">
        <v>4</v>
      </c>
      <c r="Q27" s="79"/>
      <c r="R27" s="79"/>
      <c r="S27" s="80" t="s">
        <v>5</v>
      </c>
      <c r="T27" s="80"/>
      <c r="U27" s="80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s="13" customFormat="true" ht="34.5" hidden="false" customHeight="true" outlineLevel="0" collapsed="false">
      <c r="A28" s="6"/>
      <c r="B28" s="14" t="s">
        <v>6</v>
      </c>
      <c r="C28" s="14" t="s">
        <v>7</v>
      </c>
      <c r="D28" s="14" t="s">
        <v>8</v>
      </c>
      <c r="E28" s="15" t="s">
        <v>9</v>
      </c>
      <c r="F28" s="15" t="s">
        <v>10</v>
      </c>
      <c r="G28" s="16" t="s">
        <v>11</v>
      </c>
      <c r="H28" s="17" t="s">
        <v>12</v>
      </c>
      <c r="I28" s="81" t="s">
        <v>13</v>
      </c>
      <c r="J28" s="81" t="s">
        <v>14</v>
      </c>
      <c r="K28" s="82" t="s">
        <v>15</v>
      </c>
      <c r="L28" s="120" t="s">
        <v>16</v>
      </c>
      <c r="M28" s="83" t="s">
        <v>17</v>
      </c>
      <c r="N28" s="121" t="s">
        <v>18</v>
      </c>
      <c r="O28" s="86" t="s">
        <v>19</v>
      </c>
      <c r="P28" s="86" t="s">
        <v>20</v>
      </c>
      <c r="Q28" s="86" t="s">
        <v>21</v>
      </c>
      <c r="R28" s="87" t="s">
        <v>22</v>
      </c>
      <c r="S28" s="88" t="s">
        <v>23</v>
      </c>
      <c r="T28" s="89" t="s">
        <v>24</v>
      </c>
      <c r="U28" s="122" t="s">
        <v>25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s="2" customFormat="true" ht="30" hidden="false" customHeight="true" outlineLevel="0" collapsed="false">
      <c r="B29" s="26" t="s">
        <v>62</v>
      </c>
      <c r="C29" s="26"/>
      <c r="D29" s="26"/>
      <c r="E29" s="27"/>
      <c r="F29" s="27"/>
      <c r="G29" s="28"/>
      <c r="H29" s="29"/>
      <c r="I29" s="123"/>
      <c r="J29" s="124"/>
      <c r="K29" s="125"/>
      <c r="L29" s="125"/>
      <c r="M29" s="126"/>
      <c r="N29" s="127"/>
      <c r="O29" s="127"/>
      <c r="P29" s="128"/>
      <c r="Q29" s="128"/>
      <c r="R29" s="129"/>
      <c r="S29" s="130"/>
      <c r="T29" s="131"/>
      <c r="U29" s="132"/>
    </row>
    <row r="30" customFormat="false" ht="30" hidden="false" customHeight="true" outlineLevel="0" collapsed="false">
      <c r="A30" s="2"/>
      <c r="B30" s="91" t="s">
        <v>63</v>
      </c>
      <c r="C30" s="91" t="s">
        <v>64</v>
      </c>
      <c r="D30" s="38" t="s">
        <v>46</v>
      </c>
      <c r="E30" s="92" t="n">
        <v>46264</v>
      </c>
      <c r="F30" s="92" t="n">
        <v>46264</v>
      </c>
      <c r="G30" s="93" t="n">
        <v>46277</v>
      </c>
      <c r="H30" s="94" t="n">
        <v>3</v>
      </c>
      <c r="I30" s="95" t="n">
        <v>70</v>
      </c>
      <c r="J30" s="96" t="n">
        <f aca="false">H30*I30</f>
        <v>210</v>
      </c>
      <c r="K30" s="97" t="n">
        <v>60000</v>
      </c>
      <c r="L30" s="98" t="n">
        <f aca="false">J30*K30</f>
        <v>12600000</v>
      </c>
      <c r="M30" s="99" t="n">
        <v>0</v>
      </c>
      <c r="N30" s="97" t="n">
        <v>0</v>
      </c>
      <c r="O30" s="98" t="n">
        <f aca="false">M30*N30</f>
        <v>0</v>
      </c>
      <c r="P30" s="97" t="n">
        <v>0</v>
      </c>
      <c r="Q30" s="97" t="n">
        <v>500000</v>
      </c>
      <c r="R30" s="100" t="n">
        <v>250000</v>
      </c>
      <c r="S30" s="101" t="n">
        <v>13000000</v>
      </c>
      <c r="T30" s="102" t="n">
        <f aca="false">L30+O30+P30+Q30+R30</f>
        <v>13350000</v>
      </c>
      <c r="U30" s="103" t="n">
        <f aca="false">T30-S30</f>
        <v>350000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customFormat="false" ht="30" hidden="false" customHeight="true" outlineLevel="0" collapsed="false">
      <c r="A31" s="2"/>
      <c r="B31" s="91" t="s">
        <v>65</v>
      </c>
      <c r="C31" s="91" t="s">
        <v>66</v>
      </c>
      <c r="D31" s="38" t="s">
        <v>46</v>
      </c>
      <c r="E31" s="92" t="n">
        <v>46278</v>
      </c>
      <c r="F31" s="92" t="n">
        <v>46278</v>
      </c>
      <c r="G31" s="93" t="n">
        <v>46291</v>
      </c>
      <c r="H31" s="94" t="n">
        <v>3</v>
      </c>
      <c r="I31" s="95" t="n">
        <v>80</v>
      </c>
      <c r="J31" s="96" t="n">
        <f aca="false">H31*I31</f>
        <v>240</v>
      </c>
      <c r="K31" s="97" t="n">
        <v>60000</v>
      </c>
      <c r="L31" s="98" t="n">
        <f aca="false">J31*K31</f>
        <v>14400000</v>
      </c>
      <c r="M31" s="99" t="n">
        <v>2</v>
      </c>
      <c r="N31" s="97" t="n">
        <v>750000</v>
      </c>
      <c r="O31" s="98" t="n">
        <f aca="false">M31*N31</f>
        <v>1500000</v>
      </c>
      <c r="P31" s="97" t="n">
        <v>0</v>
      </c>
      <c r="Q31" s="97" t="n">
        <v>500000</v>
      </c>
      <c r="R31" s="100" t="n">
        <v>300000</v>
      </c>
      <c r="S31" s="101" t="n">
        <v>16500000</v>
      </c>
      <c r="T31" s="102" t="n">
        <f aca="false">L31+O31+P31+Q31+R31</f>
        <v>16700000</v>
      </c>
      <c r="U31" s="103" t="n">
        <f aca="false">T31-S31</f>
        <v>200000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customFormat="false" ht="30" hidden="false" customHeight="true" outlineLevel="0" collapsed="false">
      <c r="A32" s="2"/>
      <c r="B32" s="91" t="s">
        <v>67</v>
      </c>
      <c r="C32" s="91" t="s">
        <v>68</v>
      </c>
      <c r="D32" s="38" t="s">
        <v>46</v>
      </c>
      <c r="E32" s="92" t="n">
        <v>46292</v>
      </c>
      <c r="F32" s="92" t="n">
        <v>46292</v>
      </c>
      <c r="G32" s="93" t="n">
        <v>46305</v>
      </c>
      <c r="H32" s="94" t="n">
        <v>3</v>
      </c>
      <c r="I32" s="95" t="n">
        <v>70</v>
      </c>
      <c r="J32" s="96" t="n">
        <f aca="false">H32*I32</f>
        <v>210</v>
      </c>
      <c r="K32" s="97" t="n">
        <v>50000</v>
      </c>
      <c r="L32" s="98" t="n">
        <f aca="false">J32*K32</f>
        <v>10500000</v>
      </c>
      <c r="M32" s="99" t="n">
        <v>1</v>
      </c>
      <c r="N32" s="97" t="n">
        <v>400000</v>
      </c>
      <c r="O32" s="98" t="n">
        <f aca="false">M32*N32</f>
        <v>400000</v>
      </c>
      <c r="P32" s="97" t="n">
        <v>0</v>
      </c>
      <c r="Q32" s="97" t="n">
        <v>0</v>
      </c>
      <c r="R32" s="100" t="n">
        <v>200000</v>
      </c>
      <c r="S32" s="101" t="n">
        <v>11500000</v>
      </c>
      <c r="T32" s="102" t="n">
        <f aca="false">L32+O32+P32+Q32+R32</f>
        <v>11100000</v>
      </c>
      <c r="U32" s="103" t="n">
        <f aca="false">T32-S32</f>
        <v>-400000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customFormat="false" ht="30" hidden="false" customHeight="true" outlineLevel="0" collapsed="false">
      <c r="A33" s="2"/>
      <c r="B33" s="91" t="s">
        <v>69</v>
      </c>
      <c r="C33" s="91" t="s">
        <v>70</v>
      </c>
      <c r="D33" s="38" t="s">
        <v>46</v>
      </c>
      <c r="E33" s="92" t="n">
        <v>46306</v>
      </c>
      <c r="F33" s="92" t="n">
        <v>46306</v>
      </c>
      <c r="G33" s="93" t="n">
        <v>46319</v>
      </c>
      <c r="H33" s="94" t="n">
        <v>2</v>
      </c>
      <c r="I33" s="95" t="n">
        <v>60</v>
      </c>
      <c r="J33" s="96" t="n">
        <f aca="false">H33*I33</f>
        <v>120</v>
      </c>
      <c r="K33" s="97" t="n">
        <v>50000</v>
      </c>
      <c r="L33" s="98" t="n">
        <f aca="false">J33*K33</f>
        <v>6000000</v>
      </c>
      <c r="M33" s="99" t="n">
        <v>0</v>
      </c>
      <c r="N33" s="97" t="n">
        <v>0</v>
      </c>
      <c r="O33" s="98" t="n">
        <f aca="false">M33*N33</f>
        <v>0</v>
      </c>
      <c r="P33" s="97" t="n">
        <v>500000</v>
      </c>
      <c r="Q33" s="97" t="n">
        <v>0</v>
      </c>
      <c r="R33" s="100" t="n">
        <v>200000</v>
      </c>
      <c r="S33" s="101" t="n">
        <v>7000000</v>
      </c>
      <c r="T33" s="102" t="n">
        <f aca="false">L33+O33+P33+Q33+R33</f>
        <v>6700000</v>
      </c>
      <c r="U33" s="103" t="n">
        <f aca="false">T33-S33</f>
        <v>-300000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customFormat="false" ht="30" hidden="false" customHeight="true" outlineLevel="0" collapsed="false">
      <c r="A34" s="2"/>
      <c r="B34" s="91" t="s">
        <v>71</v>
      </c>
      <c r="C34" s="91" t="s">
        <v>72</v>
      </c>
      <c r="D34" s="38" t="s">
        <v>46</v>
      </c>
      <c r="E34" s="92" t="n">
        <v>46320</v>
      </c>
      <c r="F34" s="92" t="n">
        <v>46320</v>
      </c>
      <c r="G34" s="93" t="n">
        <v>46333</v>
      </c>
      <c r="H34" s="94" t="n">
        <v>3</v>
      </c>
      <c r="I34" s="95" t="n">
        <v>70</v>
      </c>
      <c r="J34" s="96" t="n">
        <f aca="false">H34*I34</f>
        <v>210</v>
      </c>
      <c r="K34" s="97" t="n">
        <v>60000</v>
      </c>
      <c r="L34" s="98" t="n">
        <f aca="false">J34*K34</f>
        <v>12600000</v>
      </c>
      <c r="M34" s="99" t="n">
        <v>0</v>
      </c>
      <c r="N34" s="97" t="n">
        <v>0</v>
      </c>
      <c r="O34" s="98" t="n">
        <f aca="false">M34*N34</f>
        <v>0</v>
      </c>
      <c r="P34" s="97" t="n">
        <v>0</v>
      </c>
      <c r="Q34" s="97" t="n">
        <v>800000</v>
      </c>
      <c r="R34" s="100" t="n">
        <v>250000</v>
      </c>
      <c r="S34" s="101" t="n">
        <v>13500000</v>
      </c>
      <c r="T34" s="102" t="n">
        <f aca="false">L34+O34+P34+Q34+R34</f>
        <v>13650000</v>
      </c>
      <c r="U34" s="103" t="n">
        <f aca="false">T34-S34</f>
        <v>150000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customFormat="false" ht="30" hidden="false" customHeight="true" outlineLevel="0" collapsed="false">
      <c r="A35" s="2"/>
      <c r="B35" s="91" t="s">
        <v>73</v>
      </c>
      <c r="C35" s="91" t="s">
        <v>74</v>
      </c>
      <c r="D35" s="38" t="s">
        <v>46</v>
      </c>
      <c r="E35" s="92" t="n">
        <v>46334</v>
      </c>
      <c r="F35" s="92" t="n">
        <v>46334</v>
      </c>
      <c r="G35" s="93" t="n">
        <v>46347</v>
      </c>
      <c r="H35" s="94" t="n">
        <v>2</v>
      </c>
      <c r="I35" s="95" t="n">
        <v>70</v>
      </c>
      <c r="J35" s="96" t="n">
        <f aca="false">H35*I35</f>
        <v>140</v>
      </c>
      <c r="K35" s="97" t="n">
        <v>65000</v>
      </c>
      <c r="L35" s="98" t="n">
        <f aca="false">J35*K35</f>
        <v>9100000</v>
      </c>
      <c r="M35" s="99" t="n">
        <v>0</v>
      </c>
      <c r="N35" s="97" t="n">
        <v>0</v>
      </c>
      <c r="O35" s="98" t="n">
        <f aca="false">M35*N35</f>
        <v>0</v>
      </c>
      <c r="P35" s="97" t="n">
        <v>0</v>
      </c>
      <c r="Q35" s="97" t="n">
        <v>0</v>
      </c>
      <c r="R35" s="100" t="n">
        <v>300000</v>
      </c>
      <c r="S35" s="101" t="n">
        <v>10000000</v>
      </c>
      <c r="T35" s="102" t="n">
        <f aca="false">L35+O35+P35+Q35+R35</f>
        <v>9400000</v>
      </c>
      <c r="U35" s="103" t="n">
        <f aca="false">T35-S35</f>
        <v>-600000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customFormat="false" ht="30" hidden="false" customHeight="true" outlineLevel="0" collapsed="false">
      <c r="A36" s="2"/>
      <c r="B36" s="91" t="s">
        <v>75</v>
      </c>
      <c r="C36" s="91" t="s">
        <v>76</v>
      </c>
      <c r="D36" s="38" t="s">
        <v>46</v>
      </c>
      <c r="E36" s="92" t="n">
        <v>46348</v>
      </c>
      <c r="F36" s="92" t="n">
        <v>46348</v>
      </c>
      <c r="G36" s="93" t="n">
        <v>46361</v>
      </c>
      <c r="H36" s="94" t="n">
        <v>1</v>
      </c>
      <c r="I36" s="95" t="n">
        <v>20</v>
      </c>
      <c r="J36" s="96" t="n">
        <f aca="false">H36*I36</f>
        <v>20</v>
      </c>
      <c r="K36" s="97" t="n">
        <v>55000</v>
      </c>
      <c r="L36" s="98" t="n">
        <f aca="false">J36*K36</f>
        <v>1100000</v>
      </c>
      <c r="M36" s="99" t="n">
        <v>0</v>
      </c>
      <c r="N36" s="97" t="n">
        <v>0</v>
      </c>
      <c r="O36" s="98" t="n">
        <f aca="false">M36*N36</f>
        <v>0</v>
      </c>
      <c r="P36" s="97" t="n">
        <v>0</v>
      </c>
      <c r="Q36" s="97" t="n">
        <v>0</v>
      </c>
      <c r="R36" s="100" t="n">
        <v>80000</v>
      </c>
      <c r="S36" s="101" t="n">
        <v>1500000</v>
      </c>
      <c r="T36" s="102" t="n">
        <f aca="false">L36+O36+P36+Q36+R36</f>
        <v>1180000</v>
      </c>
      <c r="U36" s="103" t="n">
        <f aca="false">T36-S36</f>
        <v>-320000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customFormat="false" ht="30" hidden="false" customHeight="true" outlineLevel="0" collapsed="false">
      <c r="A37" s="2"/>
      <c r="B37" s="7" t="s">
        <v>77</v>
      </c>
      <c r="C37" s="7"/>
      <c r="D37" s="7"/>
      <c r="E37" s="7"/>
      <c r="F37" s="7"/>
      <c r="G37" s="8"/>
      <c r="H37" s="9"/>
      <c r="I37" s="133"/>
      <c r="J37" s="133"/>
      <c r="K37" s="133"/>
      <c r="L37" s="134" t="n">
        <f aca="false">SUM(L30:L36)</f>
        <v>66300000</v>
      </c>
      <c r="M37" s="10"/>
      <c r="N37" s="135"/>
      <c r="O37" s="136" t="n">
        <f aca="false">SUM(O30:O36)</f>
        <v>1900000</v>
      </c>
      <c r="P37" s="137" t="n">
        <f aca="false">SUM(P30:P36)</f>
        <v>500000</v>
      </c>
      <c r="Q37" s="138" t="n">
        <f aca="false">SUM(Q30:Q36)</f>
        <v>1800000</v>
      </c>
      <c r="R37" s="139" t="n">
        <f aca="false">SUM(R30:R36)</f>
        <v>1580000</v>
      </c>
      <c r="S37" s="140" t="n">
        <f aca="false">SUM(S30:S36)</f>
        <v>73000000</v>
      </c>
      <c r="T37" s="138" t="n">
        <f aca="false">SUM(L37:R37)</f>
        <v>72080000</v>
      </c>
      <c r="U37" s="141" t="n">
        <f aca="false">T37-S37</f>
        <v>-920000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customFormat="false" ht="10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customFormat="false" ht="34.5" hidden="false" customHeight="true" outlineLevel="0" collapsed="false">
      <c r="A39" s="2"/>
      <c r="B39" s="7" t="s">
        <v>1</v>
      </c>
      <c r="C39" s="7"/>
      <c r="D39" s="7"/>
      <c r="E39" s="7"/>
      <c r="F39" s="7"/>
      <c r="G39" s="8"/>
      <c r="H39" s="9"/>
      <c r="I39" s="142" t="s">
        <v>2</v>
      </c>
      <c r="J39" s="142"/>
      <c r="K39" s="142"/>
      <c r="L39" s="142"/>
      <c r="M39" s="10" t="s">
        <v>3</v>
      </c>
      <c r="N39" s="10"/>
      <c r="O39" s="10"/>
      <c r="P39" s="11" t="s">
        <v>4</v>
      </c>
      <c r="Q39" s="11"/>
      <c r="R39" s="11"/>
      <c r="S39" s="12" t="s">
        <v>5</v>
      </c>
      <c r="T39" s="12"/>
      <c r="U39" s="1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customFormat="false" ht="34.5" hidden="false" customHeight="true" outlineLevel="0" collapsed="false">
      <c r="A40" s="2"/>
      <c r="B40" s="14" t="s">
        <v>6</v>
      </c>
      <c r="C40" s="14" t="s">
        <v>7</v>
      </c>
      <c r="D40" s="14" t="s">
        <v>8</v>
      </c>
      <c r="E40" s="15" t="s">
        <v>9</v>
      </c>
      <c r="F40" s="15" t="s">
        <v>10</v>
      </c>
      <c r="G40" s="16" t="s">
        <v>11</v>
      </c>
      <c r="H40" s="17" t="s">
        <v>12</v>
      </c>
      <c r="I40" s="18" t="s">
        <v>13</v>
      </c>
      <c r="J40" s="18" t="s">
        <v>14</v>
      </c>
      <c r="K40" s="19" t="s">
        <v>15</v>
      </c>
      <c r="L40" s="19" t="s">
        <v>16</v>
      </c>
      <c r="M40" s="20" t="s">
        <v>17</v>
      </c>
      <c r="N40" s="21" t="s">
        <v>18</v>
      </c>
      <c r="O40" s="15" t="s">
        <v>19</v>
      </c>
      <c r="P40" s="15" t="s">
        <v>20</v>
      </c>
      <c r="Q40" s="15" t="s">
        <v>21</v>
      </c>
      <c r="R40" s="22" t="s">
        <v>22</v>
      </c>
      <c r="S40" s="23" t="s">
        <v>23</v>
      </c>
      <c r="T40" s="24" t="s">
        <v>24</v>
      </c>
      <c r="U40" s="25" t="s">
        <v>25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customFormat="false" ht="30" hidden="false" customHeight="true" outlineLevel="0" collapsed="false">
      <c r="A41" s="2"/>
      <c r="B41" s="26" t="s">
        <v>78</v>
      </c>
      <c r="C41" s="26"/>
      <c r="D41" s="26"/>
      <c r="E41" s="27"/>
      <c r="F41" s="27"/>
      <c r="G41" s="28"/>
      <c r="H41" s="29"/>
      <c r="I41" s="30"/>
      <c r="J41" s="31"/>
      <c r="K41" s="32"/>
      <c r="L41" s="32"/>
      <c r="M41" s="32"/>
      <c r="N41" s="33"/>
      <c r="O41" s="33"/>
      <c r="P41" s="33"/>
      <c r="Q41" s="33"/>
      <c r="R41" s="34"/>
      <c r="S41" s="35"/>
      <c r="T41" s="36"/>
      <c r="U41" s="36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customFormat="false" ht="30" hidden="false" customHeight="true" outlineLevel="0" collapsed="false">
      <c r="A42" s="2"/>
      <c r="B42" s="91" t="s">
        <v>79</v>
      </c>
      <c r="C42" s="91" t="s">
        <v>80</v>
      </c>
      <c r="D42" s="38" t="s">
        <v>46</v>
      </c>
      <c r="E42" s="92" t="n">
        <v>46362</v>
      </c>
      <c r="F42" s="92" t="n">
        <v>46362</v>
      </c>
      <c r="G42" s="93" t="n">
        <v>46382</v>
      </c>
      <c r="H42" s="94" t="n">
        <v>2</v>
      </c>
      <c r="I42" s="95" t="n">
        <v>80</v>
      </c>
      <c r="J42" s="96" t="n">
        <f aca="false">H42*I42</f>
        <v>160</v>
      </c>
      <c r="K42" s="97" t="n">
        <v>60000</v>
      </c>
      <c r="L42" s="98" t="n">
        <f aca="false">J42*K42</f>
        <v>9600000</v>
      </c>
      <c r="M42" s="99" t="n">
        <v>0</v>
      </c>
      <c r="N42" s="97" t="n">
        <v>0</v>
      </c>
      <c r="O42" s="98" t="n">
        <f aca="false">M42*N42</f>
        <v>0</v>
      </c>
      <c r="P42" s="97" t="n">
        <v>0</v>
      </c>
      <c r="Q42" s="97" t="n">
        <v>5000000</v>
      </c>
      <c r="R42" s="100" t="n">
        <v>300000</v>
      </c>
      <c r="S42" s="101" t="n">
        <v>15000000</v>
      </c>
      <c r="T42" s="102" t="n">
        <f aca="false">L42+O42+P42+Q42+R42</f>
        <v>14900000</v>
      </c>
      <c r="U42" s="103" t="n">
        <f aca="false">T42-S42</f>
        <v>-100000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customFormat="false" ht="30" hidden="false" customHeight="true" outlineLevel="0" collapsed="false">
      <c r="A43" s="2"/>
      <c r="B43" s="91" t="s">
        <v>81</v>
      </c>
      <c r="C43" s="91" t="s">
        <v>82</v>
      </c>
      <c r="D43" s="38" t="s">
        <v>46</v>
      </c>
      <c r="E43" s="92" t="n">
        <v>46383</v>
      </c>
      <c r="F43" s="92" t="n">
        <v>46383</v>
      </c>
      <c r="G43" s="93" t="n">
        <v>46403</v>
      </c>
      <c r="H43" s="94" t="n">
        <v>4</v>
      </c>
      <c r="I43" s="95" t="n">
        <v>120</v>
      </c>
      <c r="J43" s="96" t="n">
        <f aca="false">H43*I43</f>
        <v>480</v>
      </c>
      <c r="K43" s="97" t="n">
        <v>55000</v>
      </c>
      <c r="L43" s="98" t="n">
        <f aca="false">J43*K43</f>
        <v>26400000</v>
      </c>
      <c r="M43" s="99" t="n">
        <v>0</v>
      </c>
      <c r="N43" s="97" t="n">
        <v>0</v>
      </c>
      <c r="O43" s="98" t="n">
        <f aca="false">M43*N43</f>
        <v>0</v>
      </c>
      <c r="P43" s="97" t="n">
        <v>0</v>
      </c>
      <c r="Q43" s="97" t="n">
        <v>0</v>
      </c>
      <c r="R43" s="100" t="n">
        <v>400000</v>
      </c>
      <c r="S43" s="101" t="n">
        <v>28000000</v>
      </c>
      <c r="T43" s="102" t="n">
        <f aca="false">L43+O43+P43+Q43+R43</f>
        <v>26800000</v>
      </c>
      <c r="U43" s="103" t="n">
        <f aca="false">T43-S43</f>
        <v>-1200000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customFormat="false" ht="30" hidden="false" customHeight="true" outlineLevel="0" collapsed="false">
      <c r="A44" s="2"/>
      <c r="B44" s="91" t="s">
        <v>83</v>
      </c>
      <c r="C44" s="91" t="s">
        <v>84</v>
      </c>
      <c r="D44" s="38" t="s">
        <v>46</v>
      </c>
      <c r="E44" s="92" t="n">
        <v>46404</v>
      </c>
      <c r="F44" s="92" t="n">
        <v>46404</v>
      </c>
      <c r="G44" s="93" t="n">
        <v>46424</v>
      </c>
      <c r="H44" s="94" t="n">
        <v>4</v>
      </c>
      <c r="I44" s="95" t="n">
        <v>120</v>
      </c>
      <c r="J44" s="96" t="n">
        <f aca="false">H44*I44</f>
        <v>480</v>
      </c>
      <c r="K44" s="97" t="n">
        <v>55000</v>
      </c>
      <c r="L44" s="98" t="n">
        <f aca="false">J44*K44</f>
        <v>26400000</v>
      </c>
      <c r="M44" s="99" t="n">
        <v>0</v>
      </c>
      <c r="N44" s="97" t="n">
        <v>0</v>
      </c>
      <c r="O44" s="98" t="n">
        <f aca="false">M44*N44</f>
        <v>0</v>
      </c>
      <c r="P44" s="97" t="n">
        <v>0</v>
      </c>
      <c r="Q44" s="97" t="n">
        <v>800000</v>
      </c>
      <c r="R44" s="100" t="n">
        <v>400000</v>
      </c>
      <c r="S44" s="101" t="n">
        <v>28000000</v>
      </c>
      <c r="T44" s="102" t="n">
        <f aca="false">L44+O44+P44+Q44+R44</f>
        <v>27600000</v>
      </c>
      <c r="U44" s="103" t="n">
        <f aca="false">T44-S44</f>
        <v>-400000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customFormat="false" ht="30" hidden="false" customHeight="true" outlineLevel="0" collapsed="false">
      <c r="A45" s="2"/>
      <c r="B45" s="91" t="s">
        <v>85</v>
      </c>
      <c r="C45" s="91" t="s">
        <v>86</v>
      </c>
      <c r="D45" s="38" t="s">
        <v>46</v>
      </c>
      <c r="E45" s="92" t="n">
        <v>46425</v>
      </c>
      <c r="F45" s="92" t="n">
        <v>46425</v>
      </c>
      <c r="G45" s="93" t="n">
        <v>46445</v>
      </c>
      <c r="H45" s="94" t="n">
        <v>3</v>
      </c>
      <c r="I45" s="95" t="n">
        <v>100</v>
      </c>
      <c r="J45" s="96" t="n">
        <f aca="false">H45*I45</f>
        <v>300</v>
      </c>
      <c r="K45" s="97" t="n">
        <v>55000</v>
      </c>
      <c r="L45" s="98" t="n">
        <f aca="false">J45*K45</f>
        <v>16500000</v>
      </c>
      <c r="M45" s="99" t="n">
        <v>0</v>
      </c>
      <c r="N45" s="97" t="n">
        <v>0</v>
      </c>
      <c r="O45" s="98" t="n">
        <f aca="false">M45*N45</f>
        <v>0</v>
      </c>
      <c r="P45" s="97" t="n">
        <v>0</v>
      </c>
      <c r="Q45" s="97" t="n">
        <v>0</v>
      </c>
      <c r="R45" s="100" t="n">
        <v>350000</v>
      </c>
      <c r="S45" s="101" t="n">
        <v>18000000</v>
      </c>
      <c r="T45" s="102" t="n">
        <f aca="false">L45+O45+P45+Q45+R45</f>
        <v>16850000</v>
      </c>
      <c r="U45" s="103" t="n">
        <f aca="false">T45-S45</f>
        <v>-1150000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customFormat="false" ht="30" hidden="false" customHeight="true" outlineLevel="0" collapsed="false">
      <c r="A46" s="2"/>
      <c r="B46" s="91" t="s">
        <v>87</v>
      </c>
      <c r="C46" s="91" t="s">
        <v>88</v>
      </c>
      <c r="D46" s="38" t="s">
        <v>46</v>
      </c>
      <c r="E46" s="92" t="n">
        <v>46446</v>
      </c>
      <c r="F46" s="92" t="n">
        <v>46446</v>
      </c>
      <c r="G46" s="93" t="n">
        <v>46466</v>
      </c>
      <c r="H46" s="94" t="n">
        <v>3</v>
      </c>
      <c r="I46" s="95" t="n">
        <v>100</v>
      </c>
      <c r="J46" s="96" t="n">
        <f aca="false">H46*I46</f>
        <v>300</v>
      </c>
      <c r="K46" s="97" t="n">
        <v>60000</v>
      </c>
      <c r="L46" s="98" t="n">
        <f aca="false">J46*K46</f>
        <v>18000000</v>
      </c>
      <c r="M46" s="99" t="n">
        <v>1</v>
      </c>
      <c r="N46" s="97" t="n">
        <v>2000000</v>
      </c>
      <c r="O46" s="98" t="n">
        <f aca="false">M46*N46</f>
        <v>2000000</v>
      </c>
      <c r="P46" s="97" t="n">
        <v>0</v>
      </c>
      <c r="Q46" s="97" t="n">
        <v>500000</v>
      </c>
      <c r="R46" s="100" t="n">
        <v>400000</v>
      </c>
      <c r="S46" s="101" t="n">
        <v>21000000</v>
      </c>
      <c r="T46" s="102" t="n">
        <f aca="false">L46+O46+P46+Q46+R46</f>
        <v>20900000</v>
      </c>
      <c r="U46" s="103" t="n">
        <f aca="false">T46-S46</f>
        <v>-100000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customFormat="false" ht="30" hidden="false" customHeight="true" outlineLevel="0" collapsed="false">
      <c r="A47" s="2"/>
      <c r="B47" s="91" t="s">
        <v>89</v>
      </c>
      <c r="C47" s="91" t="s">
        <v>90</v>
      </c>
      <c r="D47" s="38" t="s">
        <v>46</v>
      </c>
      <c r="E47" s="92" t="n">
        <v>46467</v>
      </c>
      <c r="F47" s="92" t="n">
        <v>46467</v>
      </c>
      <c r="G47" s="93" t="n">
        <v>46487</v>
      </c>
      <c r="H47" s="94" t="n">
        <v>3</v>
      </c>
      <c r="I47" s="95" t="n">
        <v>90</v>
      </c>
      <c r="J47" s="96" t="n">
        <f aca="false">H47*I47</f>
        <v>270</v>
      </c>
      <c r="K47" s="97" t="n">
        <v>65000</v>
      </c>
      <c r="L47" s="98" t="n">
        <f aca="false">J47*K47</f>
        <v>17550000</v>
      </c>
      <c r="M47" s="99" t="n">
        <v>0</v>
      </c>
      <c r="N47" s="97" t="n">
        <v>0</v>
      </c>
      <c r="O47" s="98" t="n">
        <f aca="false">M47*N47</f>
        <v>0</v>
      </c>
      <c r="P47" s="97" t="n">
        <v>0</v>
      </c>
      <c r="Q47" s="97" t="n">
        <v>0</v>
      </c>
      <c r="R47" s="100" t="n">
        <v>350000</v>
      </c>
      <c r="S47" s="101" t="n">
        <v>19000000</v>
      </c>
      <c r="T47" s="102" t="n">
        <f aca="false">L47+O47+P47+Q47+R47</f>
        <v>17900000</v>
      </c>
      <c r="U47" s="103" t="n">
        <f aca="false">T47-S47</f>
        <v>-1100000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customFormat="false" ht="30" hidden="false" customHeight="true" outlineLevel="0" collapsed="false">
      <c r="A48" s="2"/>
      <c r="B48" s="91" t="s">
        <v>91</v>
      </c>
      <c r="C48" s="91" t="s">
        <v>92</v>
      </c>
      <c r="D48" s="38" t="s">
        <v>46</v>
      </c>
      <c r="E48" s="92" t="n">
        <v>46488</v>
      </c>
      <c r="F48" s="92" t="n">
        <v>46488</v>
      </c>
      <c r="G48" s="93" t="n">
        <v>46508</v>
      </c>
      <c r="H48" s="94" t="n">
        <v>3</v>
      </c>
      <c r="I48" s="95" t="n">
        <v>90</v>
      </c>
      <c r="J48" s="96" t="n">
        <f aca="false">H48*I48</f>
        <v>270</v>
      </c>
      <c r="K48" s="97" t="n">
        <v>55000</v>
      </c>
      <c r="L48" s="98" t="n">
        <f aca="false">J48*K48</f>
        <v>14850000</v>
      </c>
      <c r="M48" s="99" t="n">
        <v>0</v>
      </c>
      <c r="N48" s="97" t="n">
        <v>0</v>
      </c>
      <c r="O48" s="98" t="n">
        <f aca="false">M48*N48</f>
        <v>0</v>
      </c>
      <c r="P48" s="97" t="n">
        <v>0</v>
      </c>
      <c r="Q48" s="97" t="n">
        <v>600000</v>
      </c>
      <c r="R48" s="100" t="n">
        <v>350000</v>
      </c>
      <c r="S48" s="101" t="n">
        <v>16000000</v>
      </c>
      <c r="T48" s="102" t="n">
        <f aca="false">L48+O48+P48+Q48+R48</f>
        <v>15800000</v>
      </c>
      <c r="U48" s="103" t="n">
        <f aca="false">T48-S48</f>
        <v>-200000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customFormat="false" ht="30" hidden="false" customHeight="true" outlineLevel="0" collapsed="false">
      <c r="A49" s="2"/>
      <c r="B49" s="91" t="s">
        <v>93</v>
      </c>
      <c r="C49" s="91" t="s">
        <v>94</v>
      </c>
      <c r="D49" s="38" t="s">
        <v>46</v>
      </c>
      <c r="E49" s="92" t="n">
        <v>46509</v>
      </c>
      <c r="F49" s="92" t="n">
        <v>46509</v>
      </c>
      <c r="G49" s="93" t="n">
        <v>46529</v>
      </c>
      <c r="H49" s="94" t="n">
        <v>3</v>
      </c>
      <c r="I49" s="95" t="n">
        <v>80</v>
      </c>
      <c r="J49" s="96" t="n">
        <f aca="false">H49*I49</f>
        <v>240</v>
      </c>
      <c r="K49" s="97" t="n">
        <v>55000</v>
      </c>
      <c r="L49" s="98" t="n">
        <f aca="false">J49*K49</f>
        <v>13200000</v>
      </c>
      <c r="M49" s="99" t="n">
        <v>1</v>
      </c>
      <c r="N49" s="97" t="n">
        <v>500000</v>
      </c>
      <c r="O49" s="98" t="n">
        <f aca="false">M49*N49</f>
        <v>500000</v>
      </c>
      <c r="P49" s="97" t="n">
        <v>0</v>
      </c>
      <c r="Q49" s="97" t="n">
        <v>400000</v>
      </c>
      <c r="R49" s="100" t="n">
        <v>300000</v>
      </c>
      <c r="S49" s="101" t="n">
        <v>14500000</v>
      </c>
      <c r="T49" s="102" t="n">
        <f aca="false">L49+O49+P49+Q49+R49</f>
        <v>14400000</v>
      </c>
      <c r="U49" s="103" t="n">
        <f aca="false">T49-S49</f>
        <v>-100000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customFormat="false" ht="30" hidden="false" customHeight="true" outlineLevel="0" collapsed="false">
      <c r="A50" s="2"/>
      <c r="B50" s="91" t="s">
        <v>95</v>
      </c>
      <c r="C50" s="91" t="s">
        <v>96</v>
      </c>
      <c r="D50" s="38" t="s">
        <v>46</v>
      </c>
      <c r="E50" s="92" t="n">
        <v>46530</v>
      </c>
      <c r="F50" s="92" t="n">
        <v>46530</v>
      </c>
      <c r="G50" s="93" t="n">
        <v>46550</v>
      </c>
      <c r="H50" s="94" t="n">
        <v>2</v>
      </c>
      <c r="I50" s="95" t="n">
        <v>60</v>
      </c>
      <c r="J50" s="96" t="n">
        <f aca="false">H50*I50</f>
        <v>120</v>
      </c>
      <c r="K50" s="97" t="n">
        <v>55000</v>
      </c>
      <c r="L50" s="98" t="n">
        <f aca="false">J50*K50</f>
        <v>6600000</v>
      </c>
      <c r="M50" s="99" t="n">
        <v>0</v>
      </c>
      <c r="N50" s="97" t="n">
        <v>0</v>
      </c>
      <c r="O50" s="98" t="n">
        <f aca="false">M50*N50</f>
        <v>0</v>
      </c>
      <c r="P50" s="97" t="n">
        <v>0</v>
      </c>
      <c r="Q50" s="97" t="n">
        <v>0</v>
      </c>
      <c r="R50" s="100" t="n">
        <v>200000</v>
      </c>
      <c r="S50" s="101" t="n">
        <v>7500000</v>
      </c>
      <c r="T50" s="102" t="n">
        <f aca="false">L50+O50+P50+Q50+R50</f>
        <v>6800000</v>
      </c>
      <c r="U50" s="103" t="n">
        <f aca="false">T50-S50</f>
        <v>-700000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customFormat="false" ht="30" hidden="false" customHeight="true" outlineLevel="0" collapsed="false">
      <c r="A51" s="2"/>
      <c r="B51" s="91" t="s">
        <v>97</v>
      </c>
      <c r="C51" s="91" t="s">
        <v>98</v>
      </c>
      <c r="D51" s="38" t="s">
        <v>46</v>
      </c>
      <c r="E51" s="92" t="n">
        <v>46551</v>
      </c>
      <c r="F51" s="92" t="n">
        <v>46551</v>
      </c>
      <c r="G51" s="93" t="n">
        <v>46571</v>
      </c>
      <c r="H51" s="94" t="n">
        <v>2</v>
      </c>
      <c r="I51" s="95" t="n">
        <v>50</v>
      </c>
      <c r="J51" s="96" t="n">
        <f aca="false">H51*I51</f>
        <v>100</v>
      </c>
      <c r="K51" s="97" t="n">
        <v>45000</v>
      </c>
      <c r="L51" s="98" t="n">
        <f aca="false">J51*K51</f>
        <v>4500000</v>
      </c>
      <c r="M51" s="99" t="n">
        <v>0</v>
      </c>
      <c r="N51" s="97" t="n">
        <v>0</v>
      </c>
      <c r="O51" s="98" t="n">
        <f aca="false">M51*N51</f>
        <v>0</v>
      </c>
      <c r="P51" s="97" t="n">
        <v>0</v>
      </c>
      <c r="Q51" s="97" t="n">
        <v>0</v>
      </c>
      <c r="R51" s="100" t="n">
        <v>150000</v>
      </c>
      <c r="S51" s="101" t="n">
        <v>5000000</v>
      </c>
      <c r="T51" s="102" t="n">
        <f aca="false">L51+O51+P51+Q51+R51</f>
        <v>4650000</v>
      </c>
      <c r="U51" s="103" t="n">
        <f aca="false">T51-S51</f>
        <v>-350000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customFormat="false" ht="30" hidden="false" customHeight="true" outlineLevel="0" collapsed="false">
      <c r="A52" s="2"/>
      <c r="B52" s="7" t="s">
        <v>99</v>
      </c>
      <c r="C52" s="7"/>
      <c r="D52" s="7"/>
      <c r="E52" s="7"/>
      <c r="F52" s="7"/>
      <c r="G52" s="8"/>
      <c r="H52" s="9"/>
      <c r="I52" s="133"/>
      <c r="J52" s="133"/>
      <c r="K52" s="133"/>
      <c r="L52" s="134" t="n">
        <f aca="false">SUM(L42:L51)</f>
        <v>153600000</v>
      </c>
      <c r="M52" s="10"/>
      <c r="N52" s="135"/>
      <c r="O52" s="136" t="n">
        <f aca="false">SUM(O42:O51)</f>
        <v>2500000</v>
      </c>
      <c r="P52" s="137" t="n">
        <f aca="false">SUM(P42:P51)</f>
        <v>0</v>
      </c>
      <c r="Q52" s="138" t="n">
        <f aca="false">SUM(Q42:Q51)</f>
        <v>7300000</v>
      </c>
      <c r="R52" s="139" t="n">
        <f aca="false">SUM(R42:R51)</f>
        <v>3200000</v>
      </c>
      <c r="S52" s="140" t="n">
        <f aca="false">SUM(S42:S51)</f>
        <v>172000000</v>
      </c>
      <c r="T52" s="138" t="n">
        <f aca="false">SUM(L52:R52)</f>
        <v>166600000</v>
      </c>
      <c r="U52" s="141" t="n">
        <f aca="false">T52-S52</f>
        <v>-5400000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customFormat="false" ht="10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customFormat="false" ht="34.5" hidden="false" customHeight="true" outlineLevel="0" collapsed="false">
      <c r="A54" s="2"/>
      <c r="B54" s="7" t="s">
        <v>1</v>
      </c>
      <c r="C54" s="7"/>
      <c r="D54" s="7"/>
      <c r="E54" s="7"/>
      <c r="F54" s="7"/>
      <c r="G54" s="8"/>
      <c r="H54" s="9"/>
      <c r="I54" s="142" t="s">
        <v>2</v>
      </c>
      <c r="J54" s="142"/>
      <c r="K54" s="142"/>
      <c r="L54" s="142"/>
      <c r="M54" s="10" t="s">
        <v>3</v>
      </c>
      <c r="N54" s="10"/>
      <c r="O54" s="10"/>
      <c r="P54" s="11" t="s">
        <v>4</v>
      </c>
      <c r="Q54" s="11"/>
      <c r="R54" s="11"/>
      <c r="S54" s="12" t="s">
        <v>5</v>
      </c>
      <c r="T54" s="12"/>
      <c r="U54" s="1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customFormat="false" ht="34.5" hidden="false" customHeight="true" outlineLevel="0" collapsed="false">
      <c r="A55" s="2"/>
      <c r="B55" s="14" t="s">
        <v>6</v>
      </c>
      <c r="C55" s="14" t="s">
        <v>7</v>
      </c>
      <c r="D55" s="14" t="s">
        <v>8</v>
      </c>
      <c r="E55" s="15" t="s">
        <v>9</v>
      </c>
      <c r="F55" s="15" t="s">
        <v>10</v>
      </c>
      <c r="G55" s="16" t="s">
        <v>11</v>
      </c>
      <c r="H55" s="17" t="s">
        <v>12</v>
      </c>
      <c r="I55" s="18" t="s">
        <v>13</v>
      </c>
      <c r="J55" s="18" t="s">
        <v>14</v>
      </c>
      <c r="K55" s="19" t="s">
        <v>15</v>
      </c>
      <c r="L55" s="19" t="s">
        <v>16</v>
      </c>
      <c r="M55" s="20" t="s">
        <v>17</v>
      </c>
      <c r="N55" s="21" t="s">
        <v>18</v>
      </c>
      <c r="O55" s="15" t="s">
        <v>19</v>
      </c>
      <c r="P55" s="15" t="s">
        <v>20</v>
      </c>
      <c r="Q55" s="15" t="s">
        <v>21</v>
      </c>
      <c r="R55" s="22" t="s">
        <v>22</v>
      </c>
      <c r="S55" s="23" t="s">
        <v>23</v>
      </c>
      <c r="T55" s="24" t="s">
        <v>24</v>
      </c>
      <c r="U55" s="25" t="s">
        <v>25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customFormat="false" ht="30" hidden="false" customHeight="true" outlineLevel="0" collapsed="false">
      <c r="A56" s="2"/>
      <c r="B56" s="26" t="s">
        <v>100</v>
      </c>
      <c r="C56" s="26"/>
      <c r="D56" s="26"/>
      <c r="E56" s="27"/>
      <c r="F56" s="27"/>
      <c r="G56" s="28"/>
      <c r="H56" s="29"/>
      <c r="I56" s="30"/>
      <c r="J56" s="31"/>
      <c r="K56" s="32"/>
      <c r="L56" s="32"/>
      <c r="M56" s="32"/>
      <c r="N56" s="33"/>
      <c r="O56" s="33"/>
      <c r="P56" s="33"/>
      <c r="Q56" s="33"/>
      <c r="R56" s="34"/>
      <c r="S56" s="35"/>
      <c r="T56" s="36"/>
      <c r="U56" s="36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customFormat="false" ht="30" hidden="false" customHeight="true" outlineLevel="0" collapsed="false">
      <c r="A57" s="2"/>
      <c r="B57" s="91" t="s">
        <v>101</v>
      </c>
      <c r="C57" s="91" t="s">
        <v>102</v>
      </c>
      <c r="D57" s="38" t="s">
        <v>46</v>
      </c>
      <c r="E57" s="92" t="n">
        <v>46572</v>
      </c>
      <c r="F57" s="92" t="n">
        <v>46572</v>
      </c>
      <c r="G57" s="93" t="n">
        <v>46585</v>
      </c>
      <c r="H57" s="94" t="n">
        <v>3</v>
      </c>
      <c r="I57" s="95" t="n">
        <v>80</v>
      </c>
      <c r="J57" s="96" t="n">
        <f aca="false">H57*I57</f>
        <v>240</v>
      </c>
      <c r="K57" s="97" t="n">
        <v>50000</v>
      </c>
      <c r="L57" s="98" t="n">
        <f aca="false">J57*K57</f>
        <v>12000000</v>
      </c>
      <c r="M57" s="99" t="n">
        <v>0</v>
      </c>
      <c r="N57" s="97" t="n">
        <v>0</v>
      </c>
      <c r="O57" s="98" t="n">
        <f aca="false">M57*N57</f>
        <v>0</v>
      </c>
      <c r="P57" s="97" t="n">
        <v>0</v>
      </c>
      <c r="Q57" s="97" t="n">
        <v>0</v>
      </c>
      <c r="R57" s="100" t="n">
        <v>250000</v>
      </c>
      <c r="S57" s="101" t="n">
        <v>13000000</v>
      </c>
      <c r="T57" s="102" t="n">
        <f aca="false">L57+O57+P57+Q57+R57</f>
        <v>12250000</v>
      </c>
      <c r="U57" s="103" t="n">
        <f aca="false">T57-S57</f>
        <v>-750000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customFormat="false" ht="30" hidden="false" customHeight="true" outlineLevel="0" collapsed="false">
      <c r="A58" s="2"/>
      <c r="B58" s="91" t="s">
        <v>103</v>
      </c>
      <c r="C58" s="91" t="s">
        <v>104</v>
      </c>
      <c r="D58" s="38" t="s">
        <v>46</v>
      </c>
      <c r="E58" s="92" t="n">
        <v>46586</v>
      </c>
      <c r="F58" s="92" t="n">
        <v>46586</v>
      </c>
      <c r="G58" s="93" t="n">
        <v>46599</v>
      </c>
      <c r="H58" s="94" t="n">
        <v>2</v>
      </c>
      <c r="I58" s="95" t="n">
        <v>60</v>
      </c>
      <c r="J58" s="96" t="n">
        <f aca="false">H58*I58</f>
        <v>120</v>
      </c>
      <c r="K58" s="97" t="n">
        <v>70000</v>
      </c>
      <c r="L58" s="98" t="n">
        <f aca="false">J58*K58</f>
        <v>8400000</v>
      </c>
      <c r="M58" s="99" t="n">
        <v>1</v>
      </c>
      <c r="N58" s="97" t="n">
        <v>1000000</v>
      </c>
      <c r="O58" s="98" t="n">
        <f aca="false">M58*N58</f>
        <v>1000000</v>
      </c>
      <c r="P58" s="97" t="n">
        <v>0</v>
      </c>
      <c r="Q58" s="97" t="n">
        <v>0</v>
      </c>
      <c r="R58" s="100" t="n">
        <v>300000</v>
      </c>
      <c r="S58" s="101" t="n">
        <v>10500000</v>
      </c>
      <c r="T58" s="102" t="n">
        <f aca="false">L58+O58+P58+Q58+R58</f>
        <v>9700000</v>
      </c>
      <c r="U58" s="103" t="n">
        <f aca="false">T58-S58</f>
        <v>-800000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customFormat="false" ht="30" hidden="false" customHeight="true" outlineLevel="0" collapsed="false">
      <c r="A59" s="2"/>
      <c r="B59" s="91" t="s">
        <v>105</v>
      </c>
      <c r="C59" s="91" t="s">
        <v>106</v>
      </c>
      <c r="D59" s="38" t="s">
        <v>46</v>
      </c>
      <c r="E59" s="92" t="n">
        <v>46600</v>
      </c>
      <c r="F59" s="92" t="n">
        <v>46600</v>
      </c>
      <c r="G59" s="93" t="n">
        <v>46613</v>
      </c>
      <c r="H59" s="94" t="n">
        <v>2</v>
      </c>
      <c r="I59" s="95" t="n">
        <v>50</v>
      </c>
      <c r="J59" s="96" t="n">
        <f aca="false">H59*I59</f>
        <v>100</v>
      </c>
      <c r="K59" s="97" t="n">
        <v>60000</v>
      </c>
      <c r="L59" s="98" t="n">
        <f aca="false">J59*K59</f>
        <v>6000000</v>
      </c>
      <c r="M59" s="99" t="n">
        <v>1</v>
      </c>
      <c r="N59" s="97" t="n">
        <v>500000</v>
      </c>
      <c r="O59" s="98" t="n">
        <f aca="false">M59*N59</f>
        <v>500000</v>
      </c>
      <c r="P59" s="97" t="n">
        <v>0</v>
      </c>
      <c r="Q59" s="97" t="n">
        <v>600000</v>
      </c>
      <c r="R59" s="100" t="n">
        <v>200000</v>
      </c>
      <c r="S59" s="101" t="n">
        <v>7500000</v>
      </c>
      <c r="T59" s="102" t="n">
        <f aca="false">L59+O59+P59+Q59+R59</f>
        <v>7300000</v>
      </c>
      <c r="U59" s="103" t="n">
        <f aca="false">T59-S59</f>
        <v>-200000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customFormat="false" ht="30" hidden="false" customHeight="true" outlineLevel="0" collapsed="false">
      <c r="A60" s="2"/>
      <c r="B60" s="91" t="s">
        <v>107</v>
      </c>
      <c r="C60" s="91" t="s">
        <v>108</v>
      </c>
      <c r="D60" s="38" t="s">
        <v>46</v>
      </c>
      <c r="E60" s="92" t="n">
        <v>46614</v>
      </c>
      <c r="F60" s="92" t="n">
        <v>46614</v>
      </c>
      <c r="G60" s="93" t="n">
        <v>46627</v>
      </c>
      <c r="H60" s="94" t="n">
        <v>3</v>
      </c>
      <c r="I60" s="95" t="n">
        <v>60</v>
      </c>
      <c r="J60" s="96" t="n">
        <f aca="false">H60*I60</f>
        <v>180</v>
      </c>
      <c r="K60" s="97" t="n">
        <v>45000</v>
      </c>
      <c r="L60" s="98" t="n">
        <f aca="false">J60*K60</f>
        <v>8100000</v>
      </c>
      <c r="M60" s="99" t="n">
        <v>0</v>
      </c>
      <c r="N60" s="97" t="n">
        <v>0</v>
      </c>
      <c r="O60" s="98" t="n">
        <f aca="false">M60*N60</f>
        <v>0</v>
      </c>
      <c r="P60" s="97" t="n">
        <v>1000000</v>
      </c>
      <c r="Q60" s="97" t="n">
        <v>0</v>
      </c>
      <c r="R60" s="100" t="n">
        <v>250000</v>
      </c>
      <c r="S60" s="101" t="n">
        <v>10000000</v>
      </c>
      <c r="T60" s="102" t="n">
        <f aca="false">L60+O60+P60+Q60+R60</f>
        <v>9350000</v>
      </c>
      <c r="U60" s="103" t="n">
        <f aca="false">T60-S60</f>
        <v>-650000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customFormat="false" ht="30" hidden="false" customHeight="true" outlineLevel="0" collapsed="false">
      <c r="A61" s="2"/>
      <c r="B61" s="91" t="s">
        <v>109</v>
      </c>
      <c r="C61" s="91" t="s">
        <v>110</v>
      </c>
      <c r="D61" s="38" t="s">
        <v>46</v>
      </c>
      <c r="E61" s="92" t="n">
        <v>46628</v>
      </c>
      <c r="F61" s="92" t="n">
        <v>46628</v>
      </c>
      <c r="G61" s="93" t="n">
        <v>46641</v>
      </c>
      <c r="H61" s="94" t="n">
        <v>1</v>
      </c>
      <c r="I61" s="95" t="n">
        <v>40</v>
      </c>
      <c r="J61" s="96" t="n">
        <f aca="false">H61*I61</f>
        <v>40</v>
      </c>
      <c r="K61" s="97" t="n">
        <v>75000</v>
      </c>
      <c r="L61" s="98" t="n">
        <f aca="false">J61*K61</f>
        <v>3000000</v>
      </c>
      <c r="M61" s="99" t="n">
        <v>0</v>
      </c>
      <c r="N61" s="97" t="n">
        <v>0</v>
      </c>
      <c r="O61" s="98" t="n">
        <f aca="false">M61*N61</f>
        <v>0</v>
      </c>
      <c r="P61" s="97" t="n">
        <v>0</v>
      </c>
      <c r="Q61" s="97" t="n">
        <v>0</v>
      </c>
      <c r="R61" s="100" t="n">
        <v>150000</v>
      </c>
      <c r="S61" s="101" t="n">
        <v>3500000</v>
      </c>
      <c r="T61" s="102" t="n">
        <f aca="false">L61+O61+P61+Q61+R61</f>
        <v>3150000</v>
      </c>
      <c r="U61" s="103" t="n">
        <f aca="false">T61-S61</f>
        <v>-350000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customFormat="false" ht="30" hidden="false" customHeight="true" outlineLevel="0" collapsed="false">
      <c r="A62" s="2"/>
      <c r="B62" s="91" t="s">
        <v>111</v>
      </c>
      <c r="C62" s="91" t="s">
        <v>112</v>
      </c>
      <c r="D62" s="38" t="s">
        <v>46</v>
      </c>
      <c r="E62" s="92" t="n">
        <v>46642</v>
      </c>
      <c r="F62" s="92" t="n">
        <v>46642</v>
      </c>
      <c r="G62" s="93" t="n">
        <v>46655</v>
      </c>
      <c r="H62" s="94" t="n">
        <v>2</v>
      </c>
      <c r="I62" s="95" t="n">
        <v>40</v>
      </c>
      <c r="J62" s="96" t="n">
        <f aca="false">H62*I62</f>
        <v>80</v>
      </c>
      <c r="K62" s="97" t="n">
        <v>50000</v>
      </c>
      <c r="L62" s="98" t="n">
        <f aca="false">J62*K62</f>
        <v>4000000</v>
      </c>
      <c r="M62" s="99" t="n">
        <v>0</v>
      </c>
      <c r="N62" s="97" t="n">
        <v>0</v>
      </c>
      <c r="O62" s="98" t="n">
        <f aca="false">M62*N62</f>
        <v>0</v>
      </c>
      <c r="P62" s="97" t="n">
        <v>0</v>
      </c>
      <c r="Q62" s="97" t="n">
        <v>0</v>
      </c>
      <c r="R62" s="100" t="n">
        <v>150000</v>
      </c>
      <c r="S62" s="101" t="n">
        <v>4500000</v>
      </c>
      <c r="T62" s="102" t="n">
        <f aca="false">L62+O62+P62+Q62+R62</f>
        <v>4150000</v>
      </c>
      <c r="U62" s="103" t="n">
        <f aca="false">T62-S62</f>
        <v>-350000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customFormat="false" ht="30" hidden="false" customHeight="true" outlineLevel="0" collapsed="false">
      <c r="A63" s="2"/>
      <c r="B63" s="91" t="s">
        <v>113</v>
      </c>
      <c r="C63" s="91" t="s">
        <v>114</v>
      </c>
      <c r="D63" s="38" t="s">
        <v>46</v>
      </c>
      <c r="E63" s="92" t="n">
        <v>46656</v>
      </c>
      <c r="F63" s="92" t="n">
        <v>46656</v>
      </c>
      <c r="G63" s="93" t="n">
        <v>46669</v>
      </c>
      <c r="H63" s="94" t="n">
        <v>2</v>
      </c>
      <c r="I63" s="95" t="n">
        <v>50</v>
      </c>
      <c r="J63" s="96" t="n">
        <f aca="false">H63*I63</f>
        <v>100</v>
      </c>
      <c r="K63" s="97" t="n">
        <v>50000</v>
      </c>
      <c r="L63" s="98" t="n">
        <f aca="false">J63*K63</f>
        <v>5000000</v>
      </c>
      <c r="M63" s="99" t="n">
        <v>1</v>
      </c>
      <c r="N63" s="97" t="n">
        <v>500000</v>
      </c>
      <c r="O63" s="98" t="n">
        <f aca="false">M63*N63</f>
        <v>500000</v>
      </c>
      <c r="P63" s="97" t="n">
        <v>1000000</v>
      </c>
      <c r="Q63" s="97" t="n">
        <v>0</v>
      </c>
      <c r="R63" s="100" t="n">
        <v>200000</v>
      </c>
      <c r="S63" s="101" t="n">
        <v>7000000</v>
      </c>
      <c r="T63" s="102" t="n">
        <f aca="false">L63+O63+P63+Q63+R63</f>
        <v>6700000</v>
      </c>
      <c r="U63" s="103" t="n">
        <f aca="false">T63-S63</f>
        <v>-300000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customFormat="false" ht="30" hidden="false" customHeight="true" outlineLevel="0" collapsed="false">
      <c r="A64" s="2"/>
      <c r="B64" s="91" t="s">
        <v>115</v>
      </c>
      <c r="C64" s="91" t="s">
        <v>116</v>
      </c>
      <c r="D64" s="38" t="s">
        <v>46</v>
      </c>
      <c r="E64" s="92" t="n">
        <v>46670</v>
      </c>
      <c r="F64" s="92" t="n">
        <v>46670</v>
      </c>
      <c r="G64" s="93" t="n">
        <v>46683</v>
      </c>
      <c r="H64" s="94" t="n">
        <v>3</v>
      </c>
      <c r="I64" s="95" t="n">
        <v>50</v>
      </c>
      <c r="J64" s="96" t="n">
        <f aca="false">H64*I64</f>
        <v>150</v>
      </c>
      <c r="K64" s="97" t="n">
        <v>50000</v>
      </c>
      <c r="L64" s="98" t="n">
        <f aca="false">J64*K64</f>
        <v>7500000</v>
      </c>
      <c r="M64" s="99" t="n">
        <v>0</v>
      </c>
      <c r="N64" s="97" t="n">
        <v>0</v>
      </c>
      <c r="O64" s="98" t="n">
        <f aca="false">M64*N64</f>
        <v>0</v>
      </c>
      <c r="P64" s="97" t="n">
        <v>0</v>
      </c>
      <c r="Q64" s="97" t="n">
        <v>5000000</v>
      </c>
      <c r="R64" s="100" t="n">
        <v>500000</v>
      </c>
      <c r="S64" s="101" t="n">
        <v>13500000</v>
      </c>
      <c r="T64" s="102" t="n">
        <f aca="false">L64+O64+P64+Q64+R64</f>
        <v>13000000</v>
      </c>
      <c r="U64" s="103" t="n">
        <f aca="false">T64-S64</f>
        <v>-500000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customFormat="false" ht="30" hidden="false" customHeight="true" outlineLevel="0" collapsed="false">
      <c r="A65" s="2"/>
      <c r="B65" s="91" t="s">
        <v>117</v>
      </c>
      <c r="C65" s="91" t="s">
        <v>118</v>
      </c>
      <c r="D65" s="38" t="s">
        <v>46</v>
      </c>
      <c r="E65" s="92" t="n">
        <v>46684</v>
      </c>
      <c r="F65" s="92" t="n">
        <v>46684</v>
      </c>
      <c r="G65" s="93" t="n">
        <v>46697</v>
      </c>
      <c r="H65" s="94" t="n">
        <v>3</v>
      </c>
      <c r="I65" s="95" t="n">
        <v>60</v>
      </c>
      <c r="J65" s="96" t="n">
        <f aca="false">H65*I65</f>
        <v>180</v>
      </c>
      <c r="K65" s="97" t="n">
        <v>45000</v>
      </c>
      <c r="L65" s="98" t="n">
        <f aca="false">J65*K65</f>
        <v>8100000</v>
      </c>
      <c r="M65" s="99" t="n">
        <v>0</v>
      </c>
      <c r="N65" s="97" t="n">
        <v>0</v>
      </c>
      <c r="O65" s="98" t="n">
        <f aca="false">M65*N65</f>
        <v>0</v>
      </c>
      <c r="P65" s="97" t="n">
        <v>0</v>
      </c>
      <c r="Q65" s="97" t="n">
        <v>800000</v>
      </c>
      <c r="R65" s="100" t="n">
        <v>250000</v>
      </c>
      <c r="S65" s="101" t="n">
        <v>9500000</v>
      </c>
      <c r="T65" s="102" t="n">
        <f aca="false">L65+O65+P65+Q65+R65</f>
        <v>9150000</v>
      </c>
      <c r="U65" s="103" t="n">
        <f aca="false">T65-S65</f>
        <v>-350000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customFormat="false" ht="30" hidden="false" customHeight="true" outlineLevel="0" collapsed="false">
      <c r="A66" s="2"/>
      <c r="B66" s="91" t="s">
        <v>119</v>
      </c>
      <c r="C66" s="91" t="s">
        <v>120</v>
      </c>
      <c r="D66" s="38" t="s">
        <v>46</v>
      </c>
      <c r="E66" s="92" t="n">
        <v>46698</v>
      </c>
      <c r="F66" s="92" t="n">
        <v>46698</v>
      </c>
      <c r="G66" s="93" t="n">
        <v>46711</v>
      </c>
      <c r="H66" s="94" t="n">
        <v>2</v>
      </c>
      <c r="I66" s="95" t="n">
        <v>20</v>
      </c>
      <c r="J66" s="96" t="n">
        <f aca="false">H66*I66</f>
        <v>40</v>
      </c>
      <c r="K66" s="97" t="n">
        <v>55000</v>
      </c>
      <c r="L66" s="98" t="n">
        <f aca="false">J66*K66</f>
        <v>2200000</v>
      </c>
      <c r="M66" s="99" t="n">
        <v>0</v>
      </c>
      <c r="N66" s="97" t="n">
        <v>0</v>
      </c>
      <c r="O66" s="98" t="n">
        <f aca="false">M66*N66</f>
        <v>0</v>
      </c>
      <c r="P66" s="97" t="n">
        <v>0</v>
      </c>
      <c r="Q66" s="97" t="n">
        <v>0</v>
      </c>
      <c r="R66" s="100" t="n">
        <v>100000</v>
      </c>
      <c r="S66" s="101" t="n">
        <v>2500000</v>
      </c>
      <c r="T66" s="102" t="n">
        <f aca="false">L66+O66+P66+Q66+R66</f>
        <v>2300000</v>
      </c>
      <c r="U66" s="103" t="n">
        <f aca="false">T66-S66</f>
        <v>-200000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customFormat="false" ht="30" hidden="false" customHeight="true" outlineLevel="0" collapsed="false">
      <c r="A67" s="2"/>
      <c r="B67" s="7" t="s">
        <v>121</v>
      </c>
      <c r="C67" s="7"/>
      <c r="D67" s="7"/>
      <c r="E67" s="7"/>
      <c r="F67" s="7"/>
      <c r="G67" s="8"/>
      <c r="H67" s="9"/>
      <c r="I67" s="133"/>
      <c r="J67" s="133"/>
      <c r="K67" s="133"/>
      <c r="L67" s="134" t="n">
        <f aca="false">SUM(L57:L66)</f>
        <v>64300000</v>
      </c>
      <c r="M67" s="10"/>
      <c r="N67" s="135"/>
      <c r="O67" s="136" t="n">
        <f aca="false">SUM(O57:O66)</f>
        <v>2000000</v>
      </c>
      <c r="P67" s="137" t="n">
        <f aca="false">SUM(P57:P66)</f>
        <v>2000000</v>
      </c>
      <c r="Q67" s="138" t="n">
        <f aca="false">SUM(Q57:Q66)</f>
        <v>6400000</v>
      </c>
      <c r="R67" s="139" t="n">
        <f aca="false">SUM(R57:R66)</f>
        <v>2350000</v>
      </c>
      <c r="S67" s="140" t="n">
        <f aca="false">SUM(S57:S66)</f>
        <v>81500000</v>
      </c>
      <c r="T67" s="138" t="n">
        <f aca="false">SUM(L67:R67)</f>
        <v>77050000</v>
      </c>
      <c r="U67" s="141" t="n">
        <f aca="false">T67-S67</f>
        <v>-4450000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customFormat="false" ht="12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customFormat="false" ht="34.5" hidden="false" customHeight="true" outlineLevel="0" collapsed="false">
      <c r="A69" s="2"/>
      <c r="B69" s="143" t="s">
        <v>122</v>
      </c>
      <c r="C69" s="143"/>
      <c r="D69" s="143"/>
      <c r="E69" s="143"/>
      <c r="F69" s="143"/>
      <c r="G69" s="143"/>
      <c r="H69" s="143"/>
      <c r="I69" s="143"/>
      <c r="J69" s="143"/>
      <c r="K69" s="143"/>
      <c r="L69" s="144" t="n">
        <f aca="false">L12+L25+L37+L52+L67</f>
        <v>334500000</v>
      </c>
      <c r="M69" s="143"/>
      <c r="N69" s="143"/>
      <c r="O69" s="144" t="n">
        <f aca="false">SUM(O12:O67)</f>
        <v>14420000</v>
      </c>
      <c r="P69" s="143"/>
      <c r="Q69" s="143"/>
      <c r="R69" s="143"/>
      <c r="S69" s="144" t="n">
        <f aca="false">S12+S25+S37+S52+S67</f>
        <v>385000000</v>
      </c>
      <c r="T69" s="144" t="n">
        <f aca="false">T12+T25+T37+T52+T67</f>
        <v>372230000</v>
      </c>
      <c r="U69" s="144" t="n">
        <f aca="false">T69-S69</f>
        <v>-12770000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customFormat="false" ht="12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customFormat="false" ht="12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customFormat="false" ht="12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customFormat="false" ht="12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customFormat="false" ht="12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customFormat="false" ht="12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customFormat="false" ht="12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customFormat="false" ht="12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customFormat="false" ht="12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customFormat="false" ht="12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customFormat="false" ht="12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customFormat="false" ht="12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customFormat="false" ht="12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customFormat="false" ht="12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customFormat="false" ht="12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customFormat="false" ht="12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customFormat="false" ht="12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customFormat="false" ht="12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customFormat="false" ht="12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customFormat="false" ht="12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customFormat="false" ht="12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customFormat="false" ht="12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customFormat="false" ht="12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customFormat="false" ht="12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customFormat="false" ht="12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customFormat="false" ht="12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customFormat="false" ht="12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customFormat="false" ht="12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customFormat="false" ht="12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customFormat="false" ht="12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customFormat="false" ht="12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customFormat="false" ht="12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customFormat="false" ht="12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customFormat="false" ht="12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customFormat="false" ht="12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customFormat="false" ht="12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customFormat="false" ht="12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customFormat="false" ht="12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customFormat="false" ht="12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customFormat="false" ht="12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customFormat="false" ht="12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customFormat="false" ht="12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customFormat="false" ht="12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customFormat="false" ht="12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customFormat="false" ht="12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customFormat="false" ht="12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customFormat="false" ht="12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customFormat="false" ht="12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customFormat="false" ht="12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customFormat="false" ht="12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customFormat="false" ht="12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customFormat="false" ht="12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customFormat="false" ht="12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customFormat="false" ht="12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customFormat="false" ht="12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customFormat="false" ht="12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customFormat="false" ht="12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customFormat="false" ht="12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customFormat="false" ht="12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customFormat="false" ht="12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customFormat="false" ht="12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customFormat="false" ht="12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customFormat="false" ht="12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customFormat="false" ht="12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customFormat="false" ht="12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customFormat="false" ht="12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customFormat="false" ht="12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customFormat="false" ht="12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customFormat="false" ht="12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customFormat="false" ht="12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customFormat="false" ht="12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customFormat="false" ht="12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customFormat="false" ht="12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customFormat="false" ht="12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customFormat="false" ht="12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customFormat="false" ht="12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customFormat="false" ht="12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customFormat="false" ht="12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customFormat="false" ht="12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customFormat="false" ht="12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customFormat="false" ht="12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customFormat="false" ht="12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customFormat="false" ht="12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customFormat="false" ht="12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customFormat="false" ht="12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customFormat="false" ht="12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customFormat="false" ht="12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customFormat="false" ht="12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customFormat="false" ht="12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customFormat="false" ht="12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customFormat="false" ht="12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customFormat="false" ht="12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customFormat="false" ht="12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customFormat="false" ht="12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customFormat="false" ht="12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customFormat="false" ht="12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customFormat="false" ht="12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customFormat="false" ht="12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customFormat="false" ht="12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customFormat="false" ht="12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customFormat="false" ht="12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customFormat="false" ht="12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customFormat="false" ht="12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customFormat="false" ht="12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customFormat="false" ht="12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customFormat="false" ht="12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customFormat="false" ht="12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customFormat="false" ht="12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customFormat="false" ht="12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customFormat="false" ht="12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customFormat="false" ht="12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customFormat="false" ht="12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customFormat="false" ht="12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customFormat="false" ht="12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customFormat="false" ht="12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customFormat="false" ht="12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customFormat="false" ht="12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customFormat="false" ht="12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customFormat="false" ht="12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customFormat="false" ht="12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customFormat="false" ht="12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customFormat="false" ht="12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customFormat="false" ht="12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customFormat="false" ht="12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customFormat="false" ht="12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customFormat="false" ht="12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customFormat="false" ht="12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customFormat="false" ht="12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customFormat="false" ht="12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customFormat="false" ht="12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customFormat="false" ht="12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customFormat="false" ht="12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customFormat="false" ht="12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customFormat="false" ht="12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customFormat="false" ht="12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customFormat="false" ht="12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customFormat="false" ht="12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customFormat="false" ht="12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customFormat="false" ht="12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customFormat="false" ht="12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customFormat="false" ht="12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customFormat="false" ht="12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customFormat="false" ht="12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customFormat="false" ht="12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customFormat="false" ht="12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customFormat="false" ht="12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customFormat="false" ht="12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customFormat="false" ht="12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customFormat="false" ht="12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customFormat="false" ht="12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customFormat="false" ht="12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customFormat="false" ht="12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customFormat="false" ht="12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customFormat="false" ht="12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customFormat="false" ht="12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customFormat="false" ht="12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customFormat="false" ht="12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customFormat="false" ht="12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customFormat="false" ht="12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customFormat="false" ht="12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customFormat="false" ht="12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customFormat="false" ht="12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customFormat="false" ht="12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customFormat="false" ht="12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customFormat="false" ht="12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customFormat="false" ht="12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customFormat="false" ht="12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customFormat="false" ht="12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customFormat="false" ht="12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customFormat="false" ht="12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customFormat="false" ht="12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customFormat="false" ht="12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customFormat="false" ht="12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customFormat="false" ht="12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customFormat="false" ht="12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customFormat="false" ht="12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customFormat="false" ht="12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customFormat="false" ht="12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customFormat="false" ht="12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customFormat="false" ht="12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customFormat="false" ht="12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customFormat="false" ht="12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customFormat="false" ht="12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customFormat="false" ht="12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customFormat="false" ht="12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customFormat="false" ht="12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customFormat="false" ht="12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customFormat="false" ht="12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customFormat="false" ht="12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customFormat="false" ht="12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customFormat="false" ht="12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customFormat="false" ht="12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customFormat="false" ht="12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customFormat="false" ht="12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customFormat="false" ht="12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customFormat="false" ht="12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customFormat="false" ht="12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customFormat="false" ht="12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customFormat="false" ht="12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customFormat="false" ht="12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customFormat="false" ht="12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customFormat="false" ht="12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customFormat="false" ht="12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customFormat="false" ht="12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customFormat="false" ht="12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customFormat="false" ht="12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customFormat="false" ht="12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customFormat="false" ht="12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customFormat="false" ht="12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customFormat="false" ht="12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customFormat="false" ht="12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customFormat="false" ht="12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customFormat="false" ht="12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customFormat="false" ht="12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customFormat="false" ht="12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customFormat="false" ht="12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customFormat="false" ht="12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customFormat="false" ht="12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customFormat="false" ht="12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customFormat="false" ht="12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customFormat="false" ht="12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customFormat="false" ht="12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customFormat="false" ht="12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customFormat="false" ht="12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customFormat="false" ht="12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customFormat="false" ht="12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customFormat="false" ht="12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customFormat="false" ht="12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customFormat="false" ht="12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customFormat="false" ht="12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customFormat="false" ht="12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customFormat="false" ht="12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customFormat="false" ht="12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customFormat="false" ht="12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customFormat="false" ht="12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customFormat="false" ht="12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customFormat="false" ht="12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customFormat="false" ht="12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customFormat="false" ht="12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customFormat="false" ht="12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customFormat="false" ht="12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customFormat="false" ht="12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customFormat="false" ht="12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customFormat="false" ht="12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customFormat="false" ht="12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customFormat="false" ht="12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customFormat="false" ht="12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customFormat="false" ht="12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customFormat="false" ht="12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customFormat="false" ht="12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customFormat="false" ht="12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customFormat="false" ht="12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customFormat="false" ht="12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customFormat="false" ht="12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customFormat="false" ht="12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customFormat="false" ht="12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customFormat="false" ht="12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customFormat="false" ht="12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customFormat="false" ht="12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customFormat="false" ht="12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customFormat="false" ht="12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customFormat="false" ht="12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customFormat="false" ht="12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customFormat="false" ht="12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customFormat="false" ht="12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customFormat="false" ht="12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customFormat="false" ht="12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customFormat="false" ht="12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customFormat="false" ht="12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customFormat="false" ht="12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customFormat="false" ht="12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customFormat="false" ht="12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customFormat="false" ht="12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customFormat="false" ht="12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customFormat="false" ht="12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customFormat="false" ht="12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customFormat="false" ht="12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customFormat="false" ht="12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customFormat="false" ht="12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customFormat="false" ht="12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customFormat="false" ht="12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customFormat="false" ht="12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customFormat="false" ht="12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customFormat="false" ht="12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customFormat="false" ht="12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customFormat="false" ht="12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customFormat="false" ht="12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customFormat="false" ht="12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customFormat="false" ht="12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customFormat="false" ht="12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customFormat="false" ht="12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customFormat="false" ht="12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customFormat="false" ht="12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customFormat="false" ht="12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customFormat="false" ht="12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customFormat="false" ht="12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customFormat="false" ht="12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customFormat="false" ht="12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customFormat="false" ht="12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customFormat="false" ht="12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customFormat="false" ht="12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customFormat="false" ht="12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customFormat="false" ht="12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customFormat="false" ht="12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customFormat="false" ht="12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customFormat="false" ht="12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customFormat="false" ht="12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customFormat="false" ht="12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customFormat="false" ht="12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customFormat="false" ht="12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customFormat="false" ht="12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customFormat="false" ht="12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customFormat="false" ht="12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customFormat="false" ht="12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customFormat="false" ht="12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customFormat="false" ht="12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customFormat="false" ht="12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customFormat="false" ht="12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customFormat="false" ht="12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customFormat="false" ht="12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customFormat="false" ht="12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customFormat="false" ht="12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customFormat="false" ht="12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customFormat="false" ht="12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customFormat="false" ht="12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customFormat="false" ht="12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customFormat="false" ht="12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customFormat="false" ht="12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customFormat="false" ht="12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customFormat="false" ht="12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customFormat="false" ht="12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customFormat="false" ht="12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customFormat="false" ht="12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customFormat="false" ht="12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customFormat="false" ht="12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customFormat="false" ht="12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customFormat="false" ht="12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customFormat="false" ht="12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customFormat="false" ht="12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customFormat="false" ht="12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customFormat="false" ht="12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customFormat="false" ht="12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customFormat="false" ht="12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customFormat="false" ht="12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customFormat="false" ht="12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customFormat="false" ht="12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customFormat="false" ht="12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customFormat="false" ht="12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</sheetData>
  <mergeCells count="20">
    <mergeCell ref="H2:L2"/>
    <mergeCell ref="M2:O2"/>
    <mergeCell ref="P2:R2"/>
    <mergeCell ref="S2:U2"/>
    <mergeCell ref="I14:L14"/>
    <mergeCell ref="M14:O14"/>
    <mergeCell ref="P14:R14"/>
    <mergeCell ref="S14:U14"/>
    <mergeCell ref="I27:L27"/>
    <mergeCell ref="M27:O27"/>
    <mergeCell ref="P27:R27"/>
    <mergeCell ref="S27:U27"/>
    <mergeCell ref="I39:L39"/>
    <mergeCell ref="M39:O39"/>
    <mergeCell ref="P39:R39"/>
    <mergeCell ref="S39:U39"/>
    <mergeCell ref="I54:L54"/>
    <mergeCell ref="M54:O54"/>
    <mergeCell ref="P54:R54"/>
    <mergeCell ref="S54:U54"/>
  </mergeCells>
  <conditionalFormatting sqref="D19:D27">
    <cfRule type="cellIs" priority="2" operator="equal" aboveAverage="0" equalAverage="0" bottom="0" percent="0" rank="0" text="" dxfId="0">
      <formula>"No Iniciado"</formula>
    </cfRule>
    <cfRule type="cellIs" priority="3" operator="equal" aboveAverage="0" equalAverage="0" bottom="0" percent="0" rank="0" text="" dxfId="1">
      <formula>"Aprobado"</formula>
    </cfRule>
    <cfRule type="cellIs" priority="4" operator="equal" aboveAverage="0" equalAverage="0" bottom="0" percent="0" rank="0" text="" dxfId="2">
      <formula>"En Espera"</formula>
    </cfRule>
    <cfRule type="cellIs" priority="5" operator="equal" aboveAverage="0" equalAverage="0" bottom="0" percent="0" rank="0" text="" dxfId="3">
      <formula>"Atrasado"</formula>
    </cfRule>
    <cfRule type="cellIs" priority="6" operator="equal" aboveAverage="0" equalAverage="0" bottom="0" percent="0" rank="0" text="" dxfId="4">
      <formula>"Aprovado"</formula>
    </cfRule>
    <cfRule type="cellIs" priority="7" operator="equal" aboveAverage="0" equalAverage="0" bottom="0" percent="0" rank="0" text="" dxfId="5">
      <formula>"Requiere Revisión"</formula>
    </cfRule>
    <cfRule type="cellIs" priority="8" operator="equal" aboveAverage="0" equalAverage="0" bottom="0" percent="0" rank="0" text="" dxfId="6">
      <formula>"En Progreso"</formula>
    </cfRule>
    <cfRule type="cellIs" priority="9" operator="equal" aboveAverage="0" equalAverage="0" bottom="0" percent="0" rank="0" text="" dxfId="7">
      <formula>"Completo"</formula>
    </cfRule>
  </conditionalFormatting>
  <conditionalFormatting sqref="D18:D27">
    <cfRule type="containsText" priority="10" operator="containsText" aboveAverage="0" equalAverage="0" bottom="0" percent="0" rank="0" text="Approved" dxfId="1">
      <formula>NOT(ISERROR(SEARCH("Approved",D18)))</formula>
    </cfRule>
    <cfRule type="containsText" priority="11" operator="containsText" aboveAverage="0" equalAverage="0" bottom="0" percent="0" rank="0" text="Needs Review" dxfId="5">
      <formula>NOT(ISERROR(SEARCH("Needs Review",D18)))</formula>
    </cfRule>
    <cfRule type="containsText" priority="12" operator="containsText" aboveAverage="0" equalAverage="0" bottom="0" percent="0" rank="0" text="Not Started" dxfId="8">
      <formula>NOT(ISERROR(SEARCH("Not Started",D18)))</formula>
    </cfRule>
    <cfRule type="containsText" priority="13" operator="containsText" aboveAverage="0" equalAverage="0" bottom="0" percent="0" rank="0" text="On Hold" dxfId="9">
      <formula>NOT(ISERROR(SEARCH("On Hold",D18)))</formula>
    </cfRule>
    <cfRule type="containsText" priority="14" operator="containsText" aboveAverage="0" equalAverage="0" bottom="0" percent="0" rank="0" text="Overdue" dxfId="10">
      <formula>NOT(ISERROR(SEARCH("Overdue",D18)))</formula>
    </cfRule>
    <cfRule type="containsText" priority="15" operator="containsText" aboveAverage="0" equalAverage="0" bottom="0" percent="0" rank="0" text="Complete" dxfId="11">
      <formula>NOT(ISERROR(SEARCH("Complete",D18)))</formula>
    </cfRule>
    <cfRule type="containsText" priority="16" operator="containsText" aboveAverage="0" equalAverage="0" bottom="0" percent="0" rank="0" text="In Progress" dxfId="12">
      <formula>NOT(ISERROR(SEARCH("In Progress",D18)))</formula>
    </cfRule>
  </conditionalFormatting>
  <conditionalFormatting sqref="D5:D13">
    <cfRule type="cellIs" priority="17" operator="equal" aboveAverage="0" equalAverage="0" bottom="0" percent="0" rank="0" text="" dxfId="0">
      <formula>"No Iniciado"</formula>
    </cfRule>
    <cfRule type="cellIs" priority="18" operator="equal" aboveAverage="0" equalAverage="0" bottom="0" percent="0" rank="0" text="" dxfId="1">
      <formula>"Aprobado"</formula>
    </cfRule>
    <cfRule type="cellIs" priority="19" operator="equal" aboveAverage="0" equalAverage="0" bottom="0" percent="0" rank="0" text="" dxfId="2">
      <formula>"En Espera"</formula>
    </cfRule>
    <cfRule type="cellIs" priority="20" operator="equal" aboveAverage="0" equalAverage="0" bottom="0" percent="0" rank="0" text="" dxfId="3">
      <formula>"Atrasado"</formula>
    </cfRule>
    <cfRule type="cellIs" priority="21" operator="equal" aboveAverage="0" equalAverage="0" bottom="0" percent="0" rank="0" text="" dxfId="4">
      <formula>"Aprovado"</formula>
    </cfRule>
    <cfRule type="cellIs" priority="22" operator="equal" aboveAverage="0" equalAverage="0" bottom="0" percent="0" rank="0" text="" dxfId="5">
      <formula>"Requiere Revisión"</formula>
    </cfRule>
    <cfRule type="cellIs" priority="23" operator="equal" aboveAverage="0" equalAverage="0" bottom="0" percent="0" rank="0" text="" dxfId="6">
      <formula>"En Progreso"</formula>
    </cfRule>
    <cfRule type="cellIs" priority="24" operator="equal" aboveAverage="0" equalAverage="0" bottom="0" percent="0" rank="0" text="" dxfId="7">
      <formula>"Completo"</formula>
    </cfRule>
  </conditionalFormatting>
  <conditionalFormatting sqref="D4:D13">
    <cfRule type="containsText" priority="25" operator="containsText" aboveAverage="0" equalAverage="0" bottom="0" percent="0" rank="0" text="Approved" dxfId="1">
      <formula>NOT(ISERROR(SEARCH("Approved",D4)))</formula>
    </cfRule>
    <cfRule type="containsText" priority="26" operator="containsText" aboveAverage="0" equalAverage="0" bottom="0" percent="0" rank="0" text="Needs Review" dxfId="5">
      <formula>NOT(ISERROR(SEARCH("Needs Review",D4)))</formula>
    </cfRule>
    <cfRule type="containsText" priority="27" operator="containsText" aboveAverage="0" equalAverage="0" bottom="0" percent="0" rank="0" text="Not Started" dxfId="8">
      <formula>NOT(ISERROR(SEARCH("Not Started",D4)))</formula>
    </cfRule>
    <cfRule type="containsText" priority="28" operator="containsText" aboveAverage="0" equalAverage="0" bottom="0" percent="0" rank="0" text="On Hold" dxfId="9">
      <formula>NOT(ISERROR(SEARCH("On Hold",D4)))</formula>
    </cfRule>
    <cfRule type="containsText" priority="29" operator="containsText" aboveAverage="0" equalAverage="0" bottom="0" percent="0" rank="0" text="Overdue" dxfId="10">
      <formula>NOT(ISERROR(SEARCH("Overdue",D4)))</formula>
    </cfRule>
    <cfRule type="containsText" priority="30" operator="containsText" aboveAverage="0" equalAverage="0" bottom="0" percent="0" rank="0" text="Complete" dxfId="11">
      <formula>NOT(ISERROR(SEARCH("Complete",D4)))</formula>
    </cfRule>
    <cfRule type="containsText" priority="31" operator="containsText" aboveAverage="0" equalAverage="0" bottom="0" percent="0" rank="0" text="In Progress" dxfId="12">
      <formula>NOT(ISERROR(SEARCH("In Progress",D4)))</formula>
    </cfRule>
  </conditionalFormatting>
  <conditionalFormatting sqref="U5:U14 U19:U28">
    <cfRule type="cellIs" priority="32" operator="lessThan" aboveAverage="0" equalAverage="0" bottom="0" percent="0" rank="0" text="" dxfId="13">
      <formula>0</formula>
    </cfRule>
    <cfRule type="cellIs" priority="33" operator="greaterThan" aboveAverage="0" equalAverage="0" bottom="0" percent="0" rank="0" text="" dxfId="14">
      <formula>0</formula>
    </cfRule>
  </conditionalFormatting>
  <conditionalFormatting sqref="U29">
    <cfRule type="colorScale" priority="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U15">
    <cfRule type="colorScale" priority="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AF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11.25" defaultRowHeight="15" zeroHeight="false" outlineLevelRow="0" outlineLevelCol="0"/>
  <cols>
    <col collapsed="false" customWidth="true" hidden="false" outlineLevel="0" max="1" min="1" style="13" width="3.37"/>
    <col collapsed="false" customWidth="true" hidden="false" outlineLevel="0" max="2" min="2" style="13" width="10.87"/>
    <col collapsed="false" customWidth="true" hidden="false" outlineLevel="0" max="3" min="3" style="13" width="3.37"/>
    <col collapsed="false" customWidth="true" hidden="false" outlineLevel="0" max="5" min="5" style="13" width="3.37"/>
    <col collapsed="false" customWidth="true" hidden="false" outlineLevel="0" max="6" min="6" style="0" width="12.88"/>
    <col collapsed="false" customWidth="true" hidden="false" outlineLevel="0" max="7" min="7" style="13" width="3.37"/>
  </cols>
  <sheetData>
    <row r="1" s="13" customFormat="true" ht="42" hidden="false" customHeight="true" outlineLevel="0" collapsed="false">
      <c r="B1" s="145" t="s">
        <v>123</v>
      </c>
      <c r="C1" s="5"/>
      <c r="D1" s="5"/>
      <c r="E1" s="5"/>
      <c r="F1" s="5"/>
      <c r="G1" s="5"/>
      <c r="H1" s="5"/>
      <c r="I1" s="5"/>
      <c r="J1" s="5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customFormat="false" ht="24.75" hidden="false" customHeight="true" outlineLevel="0" collapsed="false">
      <c r="A2" s="6"/>
      <c r="B2" s="146" t="s">
        <v>124</v>
      </c>
      <c r="C2" s="6"/>
      <c r="D2" s="146" t="s">
        <v>125</v>
      </c>
      <c r="E2" s="6"/>
      <c r="F2" s="146" t="s">
        <v>8</v>
      </c>
      <c r="G2" s="6"/>
    </row>
    <row r="3" customFormat="false" ht="34.5" hidden="false" customHeight="true" outlineLevel="0" collapsed="false">
      <c r="A3" s="6"/>
      <c r="B3" s="147" t="s">
        <v>126</v>
      </c>
      <c r="C3" s="6"/>
      <c r="D3" s="148" t="s">
        <v>127</v>
      </c>
      <c r="E3" s="6"/>
      <c r="F3" s="149" t="s">
        <v>46</v>
      </c>
      <c r="G3" s="6"/>
    </row>
    <row r="4" customFormat="false" ht="34.5" hidden="false" customHeight="true" outlineLevel="0" collapsed="false">
      <c r="A4" s="6"/>
      <c r="B4" s="150" t="s">
        <v>128</v>
      </c>
      <c r="C4" s="6"/>
      <c r="D4" s="151" t="s">
        <v>129</v>
      </c>
      <c r="E4" s="6"/>
      <c r="F4" s="152" t="s">
        <v>130</v>
      </c>
      <c r="G4" s="6"/>
    </row>
    <row r="5" customFormat="false" ht="34.5" hidden="false" customHeight="true" outlineLevel="0" collapsed="false">
      <c r="A5" s="6"/>
      <c r="C5" s="6"/>
      <c r="D5" s="153" t="s">
        <v>131</v>
      </c>
      <c r="E5" s="6"/>
      <c r="F5" s="154" t="s">
        <v>29</v>
      </c>
      <c r="G5" s="6"/>
    </row>
    <row r="6" customFormat="false" ht="34.5" hidden="false" customHeight="true" outlineLevel="0" collapsed="false">
      <c r="A6" s="6"/>
      <c r="C6" s="6"/>
      <c r="D6" s="155"/>
      <c r="E6" s="6"/>
      <c r="F6" s="156" t="s">
        <v>132</v>
      </c>
      <c r="G6" s="6"/>
    </row>
    <row r="7" customFormat="false" ht="34.5" hidden="false" customHeight="true" outlineLevel="0" collapsed="false">
      <c r="A7" s="6"/>
      <c r="C7" s="6"/>
      <c r="D7" s="155"/>
      <c r="E7" s="6"/>
      <c r="F7" s="157" t="s">
        <v>133</v>
      </c>
      <c r="G7" s="6"/>
    </row>
    <row r="8" customFormat="false" ht="34.5" hidden="false" customHeight="true" outlineLevel="0" collapsed="false">
      <c r="A8" s="6"/>
      <c r="C8" s="6"/>
      <c r="E8" s="6"/>
      <c r="F8" s="158" t="s">
        <v>134</v>
      </c>
      <c r="G8" s="6"/>
    </row>
    <row r="9" customFormat="false" ht="34.5" hidden="false" customHeight="true" outlineLevel="0" collapsed="false">
      <c r="A9" s="6"/>
      <c r="B9" s="6"/>
      <c r="C9" s="6"/>
      <c r="E9" s="6"/>
      <c r="F9" s="159" t="s">
        <v>135</v>
      </c>
      <c r="G9" s="6"/>
    </row>
    <row r="10" customFormat="false" ht="34.5" hidden="false" customHeight="true" outlineLevel="0" collapsed="false">
      <c r="A10" s="6"/>
      <c r="B10" s="6"/>
      <c r="C10" s="6"/>
      <c r="D10" s="155"/>
      <c r="E10" s="6"/>
      <c r="F10" s="91"/>
      <c r="G10" s="6"/>
    </row>
    <row r="11" customFormat="false" ht="34.5" hidden="false" customHeight="true" outlineLevel="0" collapsed="false">
      <c r="A11" s="6"/>
      <c r="B11" s="6"/>
      <c r="C11" s="6"/>
      <c r="D11" s="155"/>
      <c r="E11" s="6"/>
      <c r="F11" s="91"/>
      <c r="G11" s="6"/>
    </row>
    <row r="12" customFormat="false" ht="15" hidden="false" customHeight="false" outlineLevel="0" collapsed="false">
      <c r="A12" s="6"/>
      <c r="B12" s="6"/>
      <c r="C12" s="6"/>
      <c r="D12" s="155"/>
      <c r="E12" s="6"/>
      <c r="F12" s="155"/>
      <c r="G12" s="6"/>
    </row>
    <row r="13" customFormat="false" ht="15" hidden="false" customHeight="false" outlineLevel="0" collapsed="false">
      <c r="A13" s="6"/>
      <c r="B13" s="6"/>
      <c r="C13" s="6"/>
      <c r="D13" s="155"/>
      <c r="E13" s="6"/>
      <c r="F13" s="155"/>
      <c r="G13" s="6"/>
    </row>
    <row r="14" customFormat="false" ht="15" hidden="false" customHeight="false" outlineLevel="0" collapsed="false">
      <c r="A14" s="6"/>
      <c r="B14" s="6"/>
      <c r="C14" s="6"/>
      <c r="D14" s="155"/>
      <c r="E14" s="6"/>
      <c r="F14" s="155"/>
      <c r="G14" s="6"/>
    </row>
    <row r="15" customFormat="false" ht="15" hidden="false" customHeight="false" outlineLevel="0" collapsed="false">
      <c r="A15" s="6"/>
      <c r="B15" s="6"/>
      <c r="C15" s="6"/>
      <c r="D15" s="155"/>
      <c r="E15" s="6"/>
      <c r="F15" s="155"/>
      <c r="G15" s="6"/>
    </row>
    <row r="16" customFormat="false" ht="15" hidden="false" customHeight="false" outlineLevel="0" collapsed="false">
      <c r="A16" s="6"/>
      <c r="B16" s="6"/>
      <c r="C16" s="6"/>
      <c r="D16" s="155"/>
      <c r="E16" s="6"/>
      <c r="F16" s="155"/>
      <c r="G16" s="6"/>
    </row>
    <row r="17" customFormat="false" ht="15" hidden="false" customHeight="false" outlineLevel="0" collapsed="false">
      <c r="A17" s="6"/>
      <c r="B17" s="6"/>
      <c r="C17" s="6"/>
      <c r="D17" s="155"/>
      <c r="E17" s="6"/>
      <c r="G17" s="6"/>
    </row>
    <row r="18" customFormat="false" ht="15" hidden="false" customHeight="false" outlineLevel="0" collapsed="false">
      <c r="A18" s="6"/>
      <c r="B18" s="6"/>
      <c r="C18" s="6"/>
      <c r="D18" s="155"/>
      <c r="E18" s="6"/>
      <c r="G18" s="6"/>
    </row>
    <row r="19" customFormat="false" ht="15" hidden="false" customHeight="false" outlineLevel="0" collapsed="false">
      <c r="A19" s="6"/>
      <c r="B19" s="6"/>
      <c r="C19" s="6"/>
      <c r="D19" s="155"/>
      <c r="E19" s="6"/>
      <c r="G19" s="6"/>
    </row>
    <row r="20" customFormat="false" ht="15" hidden="false" customHeight="false" outlineLevel="0" collapsed="false">
      <c r="A20" s="6"/>
      <c r="B20" s="6"/>
      <c r="C20" s="6"/>
      <c r="D20" s="155"/>
      <c r="E20" s="6"/>
      <c r="G20" s="6"/>
    </row>
    <row r="21" customFormat="false" ht="15" hidden="false" customHeight="false" outlineLevel="0" collapsed="false">
      <c r="A21" s="6"/>
      <c r="B21" s="6"/>
      <c r="C21" s="6"/>
      <c r="D21" s="155"/>
      <c r="E21" s="6"/>
      <c r="G21" s="6"/>
    </row>
    <row r="22" customFormat="false" ht="15" hidden="false" customHeight="false" outlineLevel="0" collapsed="false">
      <c r="A22" s="6"/>
      <c r="B22" s="6"/>
      <c r="C22" s="6"/>
      <c r="D22" s="155"/>
      <c r="E22" s="6"/>
      <c r="G22" s="6"/>
    </row>
    <row r="23" customFormat="false" ht="15" hidden="false" customHeight="false" outlineLevel="0" collapsed="false">
      <c r="A23" s="6"/>
      <c r="B23" s="6"/>
      <c r="C23" s="6"/>
      <c r="D23" s="155"/>
      <c r="E23" s="6"/>
      <c r="G23" s="6"/>
    </row>
    <row r="24" customFormat="false" ht="15" hidden="false" customHeight="false" outlineLevel="0" collapsed="false">
      <c r="A24" s="6"/>
      <c r="B24" s="6"/>
      <c r="C24" s="6"/>
      <c r="D24" s="155"/>
      <c r="E24" s="6"/>
      <c r="G24" s="6"/>
    </row>
    <row r="25" customFormat="false" ht="15" hidden="false" customHeight="false" outlineLevel="0" collapsed="false">
      <c r="A25" s="6"/>
      <c r="B25" s="6"/>
      <c r="C25" s="6"/>
      <c r="D25" s="155"/>
      <c r="E25" s="6"/>
      <c r="G25" s="6"/>
    </row>
    <row r="26" customFormat="false" ht="15" hidden="false" customHeight="false" outlineLevel="0" collapsed="false">
      <c r="A26" s="6"/>
      <c r="B26" s="6"/>
      <c r="C26" s="6"/>
      <c r="D26" s="155"/>
      <c r="E26" s="6"/>
      <c r="G26" s="6"/>
    </row>
    <row r="27" customFormat="false" ht="15" hidden="false" customHeight="false" outlineLevel="0" collapsed="false">
      <c r="A27" s="6"/>
      <c r="B27" s="6"/>
      <c r="C27" s="6"/>
      <c r="D27" s="155"/>
      <c r="E27" s="6"/>
      <c r="G27" s="6"/>
    </row>
    <row r="28" customFormat="false" ht="15" hidden="false" customHeight="false" outlineLevel="0" collapsed="false">
      <c r="A28" s="6"/>
      <c r="B28" s="6"/>
      <c r="C28" s="6"/>
      <c r="D28" s="155"/>
      <c r="E28" s="6"/>
      <c r="G28" s="6"/>
    </row>
    <row r="29" customFormat="false" ht="15" hidden="false" customHeight="false" outlineLevel="0" collapsed="false">
      <c r="A29" s="6"/>
      <c r="B29" s="6"/>
      <c r="C29" s="6"/>
      <c r="D29" s="155"/>
      <c r="E29" s="6"/>
      <c r="G29" s="6"/>
    </row>
    <row r="30" customFormat="false" ht="15" hidden="false" customHeight="false" outlineLevel="0" collapsed="false">
      <c r="A30" s="6"/>
      <c r="B30" s="6"/>
      <c r="C30" s="6"/>
      <c r="D30" s="155"/>
      <c r="E30" s="6"/>
      <c r="G30" s="6"/>
    </row>
    <row r="31" customFormat="false" ht="15" hidden="false" customHeight="false" outlineLevel="0" collapsed="false">
      <c r="A31" s="6"/>
      <c r="B31" s="6"/>
      <c r="C31" s="6"/>
      <c r="D31" s="155"/>
      <c r="E31" s="6"/>
      <c r="G31" s="6"/>
    </row>
    <row r="32" customFormat="false" ht="15" hidden="false" customHeight="false" outlineLevel="0" collapsed="false">
      <c r="D32" s="155"/>
    </row>
    <row r="33" customFormat="false" ht="15" hidden="false" customHeight="false" outlineLevel="0" collapsed="false">
      <c r="A33" s="6"/>
      <c r="B33" s="6"/>
      <c r="C33" s="6"/>
      <c r="E33" s="6"/>
      <c r="G33" s="6"/>
    </row>
    <row r="34" customFormat="false" ht="15" hidden="false" customHeight="false" outlineLevel="0" collapsed="false">
      <c r="A34" s="6"/>
      <c r="B34" s="6"/>
      <c r="C34" s="6"/>
      <c r="E34" s="6"/>
      <c r="G34" s="6"/>
    </row>
    <row r="35" customFormat="false" ht="15" hidden="false" customHeight="false" outlineLevel="0" collapsed="false">
      <c r="A35" s="6"/>
      <c r="B35" s="6"/>
      <c r="C35" s="6"/>
      <c r="E35" s="6"/>
      <c r="G35" s="6"/>
    </row>
    <row r="36" customFormat="false" ht="15" hidden="false" customHeight="false" outlineLevel="0" collapsed="false">
      <c r="A36" s="6"/>
      <c r="B36" s="6"/>
      <c r="C36" s="6"/>
      <c r="E36" s="6"/>
      <c r="G36" s="6"/>
    </row>
    <row r="37" customFormat="false" ht="15" hidden="false" customHeight="false" outlineLevel="0" collapsed="false">
      <c r="A37" s="6"/>
      <c r="B37" s="6"/>
      <c r="C37" s="6"/>
      <c r="E37" s="6"/>
      <c r="G37" s="6"/>
    </row>
    <row r="38" customFormat="false" ht="15" hidden="false" customHeight="false" outlineLevel="0" collapsed="false">
      <c r="A38" s="6"/>
      <c r="B38" s="6"/>
      <c r="C38" s="6"/>
      <c r="E38" s="6"/>
      <c r="G38" s="6"/>
    </row>
    <row r="39" customFormat="false" ht="15" hidden="false" customHeight="false" outlineLevel="0" collapsed="false">
      <c r="A39" s="6"/>
      <c r="B39" s="6"/>
      <c r="C39" s="6"/>
      <c r="E39" s="6"/>
      <c r="G39" s="6"/>
    </row>
    <row r="40" customFormat="false" ht="15" hidden="false" customHeight="false" outlineLevel="0" collapsed="false">
      <c r="A40" s="6"/>
      <c r="B40" s="6"/>
      <c r="C40" s="6"/>
      <c r="E40" s="6"/>
      <c r="G40" s="6"/>
    </row>
    <row r="41" customFormat="false" ht="15" hidden="false" customHeight="false" outlineLevel="0" collapsed="false">
      <c r="A41" s="6"/>
      <c r="B41" s="6"/>
      <c r="C41" s="6"/>
      <c r="E41" s="6"/>
      <c r="G41" s="6"/>
    </row>
    <row r="42" customFormat="false" ht="15" hidden="false" customHeight="false" outlineLevel="0" collapsed="false">
      <c r="A42" s="6"/>
      <c r="B42" s="6"/>
      <c r="C42" s="6"/>
      <c r="E42" s="6"/>
      <c r="G42" s="6"/>
    </row>
    <row r="43" customFormat="false" ht="15" hidden="false" customHeight="false" outlineLevel="0" collapsed="false">
      <c r="A43" s="6"/>
      <c r="B43" s="6"/>
      <c r="C43" s="6"/>
      <c r="E43" s="6"/>
      <c r="G43" s="6"/>
    </row>
    <row r="44" customFormat="false" ht="15" hidden="false" customHeight="false" outlineLevel="0" collapsed="false">
      <c r="A44" s="6"/>
      <c r="B44" s="6"/>
      <c r="C44" s="6"/>
      <c r="E44" s="6"/>
      <c r="G44" s="6"/>
    </row>
    <row r="45" customFormat="false" ht="15" hidden="false" customHeight="false" outlineLevel="0" collapsed="false">
      <c r="A45" s="6"/>
      <c r="B45" s="6"/>
      <c r="C45" s="6"/>
      <c r="E45" s="6"/>
      <c r="G45" s="6"/>
    </row>
    <row r="46" customFormat="false" ht="15" hidden="false" customHeight="false" outlineLevel="0" collapsed="false">
      <c r="A46" s="6"/>
      <c r="B46" s="6"/>
      <c r="C46" s="6"/>
      <c r="E46" s="6"/>
      <c r="G46" s="6"/>
    </row>
    <row r="47" customFormat="false" ht="15" hidden="false" customHeight="false" outlineLevel="0" collapsed="false">
      <c r="A47" s="6"/>
      <c r="B47" s="6"/>
      <c r="C47" s="6"/>
      <c r="E47" s="6"/>
      <c r="G47" s="6"/>
    </row>
    <row r="48" customFormat="false" ht="15" hidden="false" customHeight="false" outlineLevel="0" collapsed="false">
      <c r="A48" s="6"/>
      <c r="B48" s="6"/>
      <c r="C48" s="6"/>
      <c r="E48" s="6"/>
      <c r="G48" s="6"/>
    </row>
    <row r="49" customFormat="false" ht="15" hidden="false" customHeight="false" outlineLevel="0" collapsed="false">
      <c r="A49" s="6"/>
      <c r="B49" s="6"/>
      <c r="C49" s="6"/>
      <c r="E49" s="6"/>
      <c r="G49" s="6"/>
    </row>
    <row r="50" customFormat="false" ht="15" hidden="false" customHeight="false" outlineLevel="0" collapsed="false">
      <c r="A50" s="6"/>
      <c r="B50" s="6"/>
      <c r="C50" s="6"/>
      <c r="E50" s="6"/>
      <c r="G50" s="6"/>
    </row>
    <row r="51" customFormat="false" ht="15" hidden="false" customHeight="false" outlineLevel="0" collapsed="false">
      <c r="A51" s="6"/>
      <c r="B51" s="6"/>
      <c r="C51" s="6"/>
      <c r="E51" s="6"/>
      <c r="G51" s="6"/>
    </row>
    <row r="52" customFormat="false" ht="15" hidden="false" customHeight="false" outlineLevel="0" collapsed="false">
      <c r="A52" s="6"/>
      <c r="B52" s="6"/>
      <c r="C52" s="6"/>
      <c r="E52" s="6"/>
      <c r="G52" s="6"/>
    </row>
    <row r="53" customFormat="false" ht="15" hidden="false" customHeight="false" outlineLevel="0" collapsed="false">
      <c r="A53" s="6"/>
      <c r="B53" s="6"/>
      <c r="C53" s="6"/>
      <c r="E53" s="6"/>
      <c r="G53" s="6"/>
    </row>
    <row r="54" customFormat="false" ht="15" hidden="false" customHeight="false" outlineLevel="0" collapsed="false">
      <c r="A54" s="6"/>
      <c r="B54" s="6"/>
      <c r="C54" s="6"/>
      <c r="E54" s="6"/>
      <c r="G54" s="6"/>
    </row>
    <row r="55" customFormat="false" ht="15" hidden="false" customHeight="false" outlineLevel="0" collapsed="false">
      <c r="A55" s="6"/>
      <c r="B55" s="6"/>
      <c r="C55" s="6"/>
      <c r="E55" s="6"/>
      <c r="G55" s="6"/>
    </row>
    <row r="56" customFormat="false" ht="15" hidden="false" customHeight="false" outlineLevel="0" collapsed="false">
      <c r="A56" s="6"/>
      <c r="B56" s="6"/>
      <c r="C56" s="6"/>
      <c r="E56" s="6"/>
      <c r="G56" s="6"/>
    </row>
    <row r="57" customFormat="false" ht="15" hidden="false" customHeight="false" outlineLevel="0" collapsed="false">
      <c r="A57" s="6"/>
      <c r="B57" s="6"/>
      <c r="C57" s="6"/>
      <c r="E57" s="6"/>
      <c r="G57" s="6"/>
    </row>
    <row r="58" customFormat="false" ht="15" hidden="false" customHeight="false" outlineLevel="0" collapsed="false">
      <c r="A58" s="6"/>
      <c r="B58" s="6"/>
      <c r="C58" s="6"/>
      <c r="E58" s="6"/>
      <c r="G58" s="6"/>
    </row>
    <row r="59" customFormat="false" ht="15" hidden="false" customHeight="false" outlineLevel="0" collapsed="false">
      <c r="A59" s="6"/>
      <c r="B59" s="6"/>
      <c r="C59" s="6"/>
      <c r="E59" s="6"/>
      <c r="G59" s="6"/>
    </row>
    <row r="60" customFormat="false" ht="15" hidden="false" customHeight="false" outlineLevel="0" collapsed="false">
      <c r="A60" s="6"/>
      <c r="B60" s="6"/>
      <c r="C60" s="6"/>
      <c r="E60" s="6"/>
      <c r="G60" s="6"/>
    </row>
    <row r="61" customFormat="false" ht="15" hidden="false" customHeight="false" outlineLevel="0" collapsed="false">
      <c r="A61" s="6"/>
      <c r="B61" s="6"/>
      <c r="C61" s="6"/>
      <c r="E61" s="6"/>
      <c r="G61" s="6"/>
    </row>
  </sheetData>
  <conditionalFormatting sqref="F3:F11">
    <cfRule type="containsText" priority="2" operator="containsText" aboveAverage="0" equalAverage="0" bottom="0" percent="0" rank="0" text="Approved" dxfId="1">
      <formula>NOT(ISERROR(SEARCH("Approved",F3)))</formula>
    </cfRule>
    <cfRule type="containsText" priority="3" operator="containsText" aboveAverage="0" equalAverage="0" bottom="0" percent="0" rank="0" text="Needs Review" dxfId="5">
      <formula>NOT(ISERROR(SEARCH("Needs Review",F3)))</formula>
    </cfRule>
    <cfRule type="containsText" priority="4" operator="containsText" aboveAverage="0" equalAverage="0" bottom="0" percent="0" rank="0" text="Not Started" dxfId="8">
      <formula>NOT(ISERROR(SEARCH("Not Started",F3)))</formula>
    </cfRule>
    <cfRule type="containsText" priority="5" operator="containsText" aboveAverage="0" equalAverage="0" bottom="0" percent="0" rank="0" text="On Hold" dxfId="9">
      <formula>NOT(ISERROR(SEARCH("On Hold",F3)))</formula>
    </cfRule>
    <cfRule type="containsText" priority="6" operator="containsText" aboveAverage="0" equalAverage="0" bottom="0" percent="0" rank="0" text="Overdue" dxfId="10">
      <formula>NOT(ISERROR(SEARCH("Overdue",F3)))</formula>
    </cfRule>
    <cfRule type="containsText" priority="7" operator="containsText" aboveAverage="0" equalAverage="0" bottom="0" percent="0" rank="0" text="Complete" dxfId="11">
      <formula>NOT(ISERROR(SEARCH("Complete",F3)))</formula>
    </cfRule>
    <cfRule type="containsText" priority="8" operator="containsText" aboveAverage="0" equalAverage="0" bottom="0" percent="0" rank="0" text="In Progress" dxfId="12">
      <formula>NOT(ISERROR(SEARCH("In Progress",F3)))</formula>
    </cfRule>
  </conditionalFormatting>
  <conditionalFormatting sqref="D3:D5">
    <cfRule type="containsText" priority="9" operator="containsText" aboveAverage="0" equalAverage="0" bottom="0" percent="0" rank="0" text="Low" dxfId="15">
      <formula>NOT(ISERROR(SEARCH("Low",D3)))</formula>
    </cfRule>
    <cfRule type="containsText" priority="10" operator="containsText" aboveAverage="0" equalAverage="0" bottom="0" percent="0" rank="0" text="Medium" dxfId="16">
      <formula>NOT(ISERROR(SEARCH("Medium",D3)))</formula>
    </cfRule>
    <cfRule type="containsText" priority="11" operator="containsText" aboveAverage="0" equalAverage="0" bottom="0" percent="0" rank="0" text="High" dxfId="17">
      <formula>NOT(ISERROR(SEARCH("High",D3)))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2015-08-28T20:34:30Z</dcterms:created>
  <dc:creator>Bess</dc:creator>
  <dc:description/>
  <dc:language>en-US</dc:language>
  <cp:lastModifiedBy>MIGUEL JOSE RAMIREZ ROJAS</cp:lastModifiedBy>
  <dcterms:modified xsi:type="dcterms:W3CDTF">2026-03-16T16:28:08Z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0x010100145B78A338D02B4CB038A7517D72E7CB</vt:lpwstr>
  </property>
</Properties>
</file>