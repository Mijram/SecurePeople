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0f3b119354a3baee/Documentos/"/>
    </mc:Choice>
  </mc:AlternateContent>
  <xr:revisionPtr revIDLastSave="0" documentId="8_{2DC1A9E8-18DD-438A-AC9A-0B96F388E0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9" i="1"/>
  <c r="H8" i="1"/>
</calcChain>
</file>

<file path=xl/sharedStrings.xml><?xml version="1.0" encoding="utf-8"?>
<sst xmlns="http://schemas.openxmlformats.org/spreadsheetml/2006/main" count="97" uniqueCount="53">
  <si>
    <t>1.1.1</t>
  </si>
  <si>
    <t>3.2.1</t>
  </si>
  <si>
    <t>3.2.2</t>
  </si>
  <si>
    <t>3.3.1</t>
  </si>
  <si>
    <t>WBS No.</t>
  </si>
  <si>
    <t>Definición y Planificación del Proyecto</t>
  </si>
  <si>
    <t>Lanzamiento y Ejecución del Proyecto</t>
  </si>
  <si>
    <t>Desempeño / Monitoreo del Proyecto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</si>
  <si>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</si>
  <si>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</si>
  <si>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</si>
  <si>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</si>
  <si>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</si>
  <si>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</si>
  <si>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</si>
  <si>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</si>
  <si>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</si>
  <si>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</si>
  <si>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</si>
  <si>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</si>
  <si>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en dias</t>
  </si>
  <si>
    <t>Completo</t>
  </si>
  <si>
    <t>En progreso</t>
  </si>
  <si>
    <t>No Iniciado</t>
  </si>
  <si>
    <t>En Espera</t>
  </si>
  <si>
    <t>– Definición del alcance y establecimiento de objetivos</t>
  </si>
  <si>
    <t>– Presupuesto</t>
  </si>
  <si>
    <t>– Plan de comunicación</t>
  </si>
  <si>
    <t>– Gestión de riesgos</t>
  </si>
  <si>
    <t>– Estado y seguimiento</t>
  </si>
  <si>
    <t>– Indicadores clave de desempeño (KPIs)</t>
  </si>
  <si>
    <t>–– Monitoreo</t>
  </si>
  <si>
    <t>–– Proyecciones</t>
  </si>
  <si>
    <t>– Actualizaciones del proyecto</t>
  </si>
  <si>
    <t>–– Actualización de gráficos</t>
  </si>
  <si>
    <t>– Objetivos del proyecto</t>
  </si>
  <si>
    <t>– Entregables de calidad</t>
  </si>
  <si>
    <t>– Seguimiento del esfuerzo y costos</t>
  </si>
  <si>
    <t>– Desempeño del proyecto</t>
  </si>
  <si>
    <t>secure people</t>
  </si>
  <si>
    <t>Planificación inicial de la aplicación Secure People</t>
  </si>
  <si>
    <t>Documento de inicio del proyecto Secure People</t>
  </si>
  <si>
    <t>Revisión y aprobación del documento inicial del proyecto</t>
  </si>
  <si>
    <t>Investigación de necesidades de seguridad ciudadana en Colombia</t>
  </si>
  <si>
    <t>Proyección de funcionalidades y alcance de la app Secure People</t>
  </si>
  <si>
    <t>Identificación de usuarios y entidades involucradas</t>
  </si>
  <si>
    <t>Definición de normas y lineamientos del proyecto</t>
  </si>
  <si>
    <t>Lanzamiento de la fase de desarrollo de Secure People</t>
  </si>
  <si>
    <t>Nicolas Forero -Johan Garzon</t>
  </si>
  <si>
    <t>Nicolas Forero</t>
  </si>
  <si>
    <t>Jahiro Bermejo</t>
  </si>
  <si>
    <t>Johan Garzon</t>
  </si>
  <si>
    <t>Miguel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</si>
</sst>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0"/>
      <color theme="1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71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3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9" fillId="9" borderId="3" xfId="0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10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 readingOrder="1"/>
    </xf>
    <xf numFmtId="164" fontId="10" fillId="7" borderId="3" xfId="0" applyNumberFormat="1" applyFont="1" applyFill="1" applyBorder="1" applyAlignment="1">
      <alignment horizontal="left" vertical="center" wrapText="1" indent="1"/>
    </xf>
    <xf numFmtId="165" fontId="10" fillId="7" borderId="3" xfId="0" applyNumberFormat="1" applyFont="1" applyFill="1" applyBorder="1" applyAlignment="1">
      <alignment horizontal="left" vertical="center" wrapText="1" indent="1" readingOrder="1"/>
    </xf>
    <xf numFmtId="165" fontId="10" fillId="7" borderId="3" xfId="0" applyNumberFormat="1" applyFont="1" applyFill="1" applyBorder="1" applyAlignment="1">
      <alignment horizontal="left" vertical="center" wrapText="1" indent="1"/>
    </xf>
    <xf numFmtId="1" fontId="10" fillId="7" borderId="3" xfId="0" applyNumberFormat="1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 readingOrder="1"/>
    </xf>
    <xf numFmtId="165" fontId="10" fillId="8" borderId="3" xfId="0" applyNumberFormat="1" applyFont="1" applyFill="1" applyBorder="1" applyAlignment="1">
      <alignment horizontal="left" vertical="center" wrapText="1" indent="1" readingOrder="1"/>
    </xf>
    <xf numFmtId="165" fontId="10" fillId="8" borderId="3" xfId="0" applyNumberFormat="1" applyFont="1" applyFill="1" applyBorder="1" applyAlignment="1">
      <alignment horizontal="left" vertical="center" wrapText="1" indent="1"/>
    </xf>
    <xf numFmtId="1" fontId="10" fillId="8" borderId="3" xfId="0" applyNumberFormat="1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 readingOrder="1"/>
    </xf>
    <xf numFmtId="165" fontId="10" fillId="9" borderId="3" xfId="0" applyNumberFormat="1" applyFont="1" applyFill="1" applyBorder="1" applyAlignment="1">
      <alignment horizontal="left" vertical="center" wrapText="1" indent="1" readingOrder="1"/>
    </xf>
    <xf numFmtId="165" fontId="10" fillId="9" borderId="3" xfId="0" applyNumberFormat="1" applyFont="1" applyFill="1" applyBorder="1" applyAlignment="1">
      <alignment horizontal="left" vertical="center" wrapText="1" indent="1"/>
    </xf>
    <xf numFmtId="1" fontId="10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0" fillId="6" borderId="3" xfId="0" applyFont="1" applyFill="1" applyBorder="1" applyAlignment="1">
      <alignment horizontal="left" vertical="center" wrapText="1" indent="1"/>
    </xf>
    <xf numFmtId="0" fontId="12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0" fillId="6" borderId="3" xfId="0" applyNumberFormat="1" applyFont="1" applyFill="1" applyBorder="1" applyAlignment="1">
      <alignment horizontal="left" vertical="center" wrapText="1" indent="1"/>
    </xf>
    <xf numFmtId="0" fontId="12" fillId="10" borderId="6" xfId="0" applyFont="1" applyFill="1" applyBorder="1" applyAlignment="1">
      <alignment horizontal="left" vertical="center" wrapText="1" indent="1"/>
    </xf>
    <xf numFmtId="0" fontId="12" fillId="10" borderId="4" xfId="0" applyFont="1" applyFill="1" applyBorder="1" applyAlignment="1">
      <alignment horizontal="left" vertical="center" wrapText="1" indent="1"/>
    </xf>
    <xf numFmtId="165" fontId="10" fillId="6" borderId="7" xfId="0" applyNumberFormat="1" applyFont="1" applyFill="1" applyBorder="1" applyAlignment="1">
      <alignment horizontal="left" vertical="center" wrapText="1" indent="1"/>
    </xf>
    <xf numFmtId="1" fontId="10" fillId="6" borderId="3" xfId="0" applyNumberFormat="1" applyFont="1" applyFill="1" applyBorder="1" applyAlignment="1">
      <alignment horizontal="left" vertical="center" wrapText="1" indent="1"/>
    </xf>
    <xf numFmtId="0" fontId="9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5" fillId="0" borderId="2" xfId="0" applyNumberFormat="1" applyFont="1" applyBorder="1" applyAlignment="1">
      <alignment horizontal="left" vertical="center" wrapText="1" indent="1" readingOrder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1" borderId="2" xfId="0" applyNumberFormat="1" applyFont="1" applyFill="1" applyBorder="1" applyAlignment="1">
      <alignment horizontal="left" vertical="center" wrapText="1" indent="1"/>
    </xf>
    <xf numFmtId="1" fontId="4" fillId="12" borderId="1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1" xfId="0" applyNumberFormat="1" applyFont="1" applyFill="1" applyBorder="1" applyAlignment="1">
      <alignment horizontal="left" vertical="center" wrapText="1" indent="1"/>
    </xf>
    <xf numFmtId="1" fontId="4" fillId="13" borderId="2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1" fontId="4" fillId="3" borderId="2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4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3" fillId="4" borderId="6" xfId="0" applyFont="1" applyFill="1" applyBorder="1" applyAlignment="1">
      <alignment horizontal="left" vertical="center" wrapText="1" indent="1"/>
    </xf>
    <xf numFmtId="0" fontId="10" fillId="6" borderId="0" xfId="0" applyFont="1" applyFill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wrapText="1" indent="1" readingOrder="1"/>
    </xf>
    <xf numFmtId="0" fontId="4" fillId="16" borderId="1" xfId="0" applyFont="1" applyFill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24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'Example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'Example - Project Plan Template'!$C$8:$C$32</c:f>
              <c:strCache>
                <c:ptCount val="25"/>
                <c:pt idx="0">
                  <c:v>Planificación inicial de la aplicación Secure People</c:v>
                </c:pt>
                <c:pt idx="1">
                  <c:v>Documento de inicio del proyecto Secure People</c:v>
                </c:pt>
                <c:pt idx="2">
                  <c:v>Revisión y aprobación del documento inicial del proyecto</c:v>
                </c:pt>
                <c:pt idx="3">
                  <c:v>Investigación de necesidades de seguridad ciudadana en Colombia</c:v>
                </c:pt>
                <c:pt idx="4">
                  <c:v>Proyección de funcionalidades y alcance de la app Secure People</c:v>
                </c:pt>
                <c:pt idx="5">
                  <c:v>Identificación de usuarios y entidades involucradas</c:v>
                </c:pt>
                <c:pt idx="6">
                  <c:v>Definición de normas y lineamientos del proyecto</c:v>
                </c:pt>
                <c:pt idx="7">
                  <c:v>Lanzamiento de la fase de desarrollo de Secure People</c:v>
                </c:pt>
                <c:pt idx="8">
                  <c:v>Definición y Planificación del Proyecto</c:v>
                </c:pt>
                <c:pt idx="9">
                  <c:v>– Definición del alcance y establecimiento de objetivos</c:v>
                </c:pt>
                <c:pt idx="10">
                  <c:v>– Presupuesto</c:v>
                </c:pt>
                <c:pt idx="11">
                  <c:v>– Plan de comunicación</c:v>
                </c:pt>
                <c:pt idx="12">
                  <c:v>– Gestión de riesgos</c:v>
                </c:pt>
                <c:pt idx="13">
                  <c:v>Lanzamiento y Ejecución del Proyecto</c:v>
                </c:pt>
                <c:pt idx="14">
                  <c:v>– Estado y seguimiento</c:v>
                </c:pt>
                <c:pt idx="15">
                  <c:v>– Indicadores clave de desempeño (KPIs)</c:v>
                </c:pt>
                <c:pt idx="16">
                  <c:v>–– Monitoreo</c:v>
                </c:pt>
                <c:pt idx="17">
                  <c:v>–– Proyecciones</c:v>
                </c:pt>
                <c:pt idx="18">
                  <c:v>– Actualizaciones del proyecto</c:v>
                </c:pt>
                <c:pt idx="19">
                  <c:v>–– Actualización de gráficos</c:v>
                </c:pt>
                <c:pt idx="20">
                  <c:v>Desempeño / Monitoreo del Proyecto</c:v>
                </c:pt>
                <c:pt idx="21">
                  <c:v>– Objetivos del proyecto</c:v>
                </c:pt>
                <c:pt idx="22">
                  <c:v>– Entregables de calidad</c:v>
                </c:pt>
                <c:pt idx="23">
                  <c:v>– Seguimiento del esfuerzo y costos</c:v>
                </c:pt>
                <c:pt idx="24">
                  <c:v>– Desempeño del proyecto</c:v>
                </c:pt>
              </c:strCache>
            </c:strRef>
          </c:cat>
          <c:val>
            <c:numRef>
              <c:f>'Example - Project Plan Template'!$F$8:$F$32</c:f>
              <c:numCache>
                <c:formatCode>mm/dd</c:formatCode>
                <c:ptCount val="25"/>
                <c:pt idx="0">
                  <c:v>46082</c:v>
                </c:pt>
                <c:pt idx="1">
                  <c:v>46124</c:v>
                </c:pt>
                <c:pt idx="2">
                  <c:v>46138</c:v>
                </c:pt>
                <c:pt idx="3">
                  <c:v>46145</c:v>
                </c:pt>
                <c:pt idx="4">
                  <c:v>46194</c:v>
                </c:pt>
                <c:pt idx="5">
                  <c:v>46208</c:v>
                </c:pt>
                <c:pt idx="6">
                  <c:v>46222</c:v>
                </c:pt>
                <c:pt idx="7">
                  <c:v>46236</c:v>
                </c:pt>
                <c:pt idx="8">
                  <c:v>46257</c:v>
                </c:pt>
                <c:pt idx="9">
                  <c:v>45685</c:v>
                </c:pt>
                <c:pt idx="10">
                  <c:v>46292</c:v>
                </c:pt>
                <c:pt idx="11">
                  <c:v>46299</c:v>
                </c:pt>
                <c:pt idx="12">
                  <c:v>46313</c:v>
                </c:pt>
                <c:pt idx="13">
                  <c:v>46327</c:v>
                </c:pt>
                <c:pt idx="14">
                  <c:v>46369</c:v>
                </c:pt>
                <c:pt idx="15">
                  <c:v>46376</c:v>
                </c:pt>
                <c:pt idx="16">
                  <c:v>46397</c:v>
                </c:pt>
                <c:pt idx="17">
                  <c:v>46383</c:v>
                </c:pt>
                <c:pt idx="18">
                  <c:v>46404</c:v>
                </c:pt>
                <c:pt idx="19">
                  <c:v>46411</c:v>
                </c:pt>
                <c:pt idx="20">
                  <c:v>46446</c:v>
                </c:pt>
                <c:pt idx="21">
                  <c:v>46397</c:v>
                </c:pt>
                <c:pt idx="22">
                  <c:v>46488</c:v>
                </c:pt>
                <c:pt idx="23">
                  <c:v>46495</c:v>
                </c:pt>
                <c:pt idx="24">
                  <c:v>46509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'Example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956-514D-99D3-3E9537F022E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956-514D-99D3-3E9537F022E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D7A-C64A-8378-D8C2DF30004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D7A-C64A-8378-D8C2DF30004B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D7A-C64A-8378-D8C2DF30004B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D7A-C64A-8378-D8C2DF30004B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D7A-C64A-8378-D8C2DF30004B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BD7A-C64A-8378-D8C2DF3000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D7A-C64A-8378-D8C2DF30004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D7A-C64A-8378-D8C2DF30004B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BD7A-C64A-8378-D8C2DF30004B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BD7A-C64A-8378-D8C2DF30004B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D7A-C64A-8378-D8C2DF30004B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BD7A-C64A-8378-D8C2DF30004B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D7A-C64A-8378-D8C2DF30004B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BD7A-C64A-8378-D8C2DF30004B}"/>
              </c:ext>
            </c:extLst>
          </c:dPt>
          <c:cat>
            <c:strRef>
              <c:f>'Example - Project Plan Template'!$C$8:$C$32</c:f>
              <c:strCache>
                <c:ptCount val="25"/>
                <c:pt idx="0">
                  <c:v>Planificación inicial de la aplicación Secure People</c:v>
                </c:pt>
                <c:pt idx="1">
                  <c:v>Documento de inicio del proyecto Secure People</c:v>
                </c:pt>
                <c:pt idx="2">
                  <c:v>Revisión y aprobación del documento inicial del proyecto</c:v>
                </c:pt>
                <c:pt idx="3">
                  <c:v>Investigación de necesidades de seguridad ciudadana en Colombia</c:v>
                </c:pt>
                <c:pt idx="4">
                  <c:v>Proyección de funcionalidades y alcance de la app Secure People</c:v>
                </c:pt>
                <c:pt idx="5">
                  <c:v>Identificación de usuarios y entidades involucradas</c:v>
                </c:pt>
                <c:pt idx="6">
                  <c:v>Definición de normas y lineamientos del proyecto</c:v>
                </c:pt>
                <c:pt idx="7">
                  <c:v>Lanzamiento de la fase de desarrollo de Secure People</c:v>
                </c:pt>
                <c:pt idx="8">
                  <c:v>Definición y Planificación del Proyecto</c:v>
                </c:pt>
                <c:pt idx="9">
                  <c:v>– Definición del alcance y establecimiento de objetivos</c:v>
                </c:pt>
                <c:pt idx="10">
                  <c:v>– Presupuesto</c:v>
                </c:pt>
                <c:pt idx="11">
                  <c:v>– Plan de comunicación</c:v>
                </c:pt>
                <c:pt idx="12">
                  <c:v>– Gestión de riesgos</c:v>
                </c:pt>
                <c:pt idx="13">
                  <c:v>Lanzamiento y Ejecución del Proyecto</c:v>
                </c:pt>
                <c:pt idx="14">
                  <c:v>– Estado y seguimiento</c:v>
                </c:pt>
                <c:pt idx="15">
                  <c:v>– Indicadores clave de desempeño (KPIs)</c:v>
                </c:pt>
                <c:pt idx="16">
                  <c:v>–– Monitoreo</c:v>
                </c:pt>
                <c:pt idx="17">
                  <c:v>–– Proyecciones</c:v>
                </c:pt>
                <c:pt idx="18">
                  <c:v>– Actualizaciones del proyecto</c:v>
                </c:pt>
                <c:pt idx="19">
                  <c:v>–– Actualización de gráficos</c:v>
                </c:pt>
                <c:pt idx="20">
                  <c:v>Desempeño / Monitoreo del Proyecto</c:v>
                </c:pt>
                <c:pt idx="21">
                  <c:v>– Objetivos del proyecto</c:v>
                </c:pt>
                <c:pt idx="22">
                  <c:v>– Entregables de calidad</c:v>
                </c:pt>
                <c:pt idx="23">
                  <c:v>– Seguimiento del esfuerzo y costos</c:v>
                </c:pt>
                <c:pt idx="24">
                  <c:v>– Desempeño del proyecto</c:v>
                </c:pt>
              </c:strCache>
            </c:strRef>
          </c:cat>
          <c:val>
            <c:numRef>
              <c:f>'Example - Project Plan Template'!$H$8:$H$32</c:f>
              <c:numCache>
                <c:formatCode>0</c:formatCode>
                <c:ptCount val="25"/>
                <c:pt idx="0">
                  <c:v>42</c:v>
                </c:pt>
                <c:pt idx="1">
                  <c:v>14</c:v>
                </c:pt>
                <c:pt idx="2">
                  <c:v>7</c:v>
                </c:pt>
                <c:pt idx="3">
                  <c:v>49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21</c:v>
                </c:pt>
                <c:pt idx="8">
                  <c:v>21</c:v>
                </c:pt>
                <c:pt idx="9">
                  <c:v>10</c:v>
                </c:pt>
                <c:pt idx="10">
                  <c:v>7</c:v>
                </c:pt>
                <c:pt idx="11">
                  <c:v>14</c:v>
                </c:pt>
                <c:pt idx="12">
                  <c:v>14</c:v>
                </c:pt>
                <c:pt idx="13">
                  <c:v>42</c:v>
                </c:pt>
                <c:pt idx="14">
                  <c:v>7</c:v>
                </c:pt>
                <c:pt idx="15">
                  <c:v>7</c:v>
                </c:pt>
                <c:pt idx="16">
                  <c:v>0</c:v>
                </c:pt>
                <c:pt idx="17">
                  <c:v>21</c:v>
                </c:pt>
                <c:pt idx="18">
                  <c:v>7</c:v>
                </c:pt>
                <c:pt idx="19">
                  <c:v>35</c:v>
                </c:pt>
                <c:pt idx="20">
                  <c:v>35</c:v>
                </c:pt>
                <c:pt idx="21">
                  <c:v>7</c:v>
                </c:pt>
                <c:pt idx="22">
                  <c:v>7</c:v>
                </c:pt>
                <c:pt idx="23">
                  <c:v>14</c:v>
                </c:pt>
                <c:pt idx="2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ax val="45800"/>
          <c:min val="4570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32</xdr:row>
      <xdr:rowOff>114300</xdr:rowOff>
    </xdr:from>
    <xdr:to>
      <xdr:col>8</xdr:col>
      <xdr:colOff>3860800</xdr:colOff>
      <xdr:row>34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078"/>
  <sheetViews>
    <sheetView showGridLines="0" tabSelected="1" zoomScale="85" zoomScaleNormal="85" workbookViewId="0">
      <pane ySplit="1" topLeftCell="A18" activePane="bottomLeft" state="frozen"/>
      <selection pane="bottomLeft" activeCell="K33" sqref="K33"/>
    </sheetView>
  </sheetViews>
  <sheetFormatPr baseColWidth="10" defaultColWidth="11" defaultRowHeight="13.2" outlineLevelRow="1" x14ac:dyDescent="0.25"/>
  <cols>
    <col min="1" max="1" width="3.3984375" style="5" customWidth="1"/>
    <col min="2" max="2" width="7.8984375" style="5" customWidth="1"/>
    <col min="3" max="3" width="57" style="5" bestFit="1" customWidth="1"/>
    <col min="4" max="4" width="12.8984375" style="5" customWidth="1"/>
    <col min="5" max="5" width="20.8984375" style="5" customWidth="1"/>
    <col min="6" max="7" width="8.8984375" style="5" customWidth="1"/>
    <col min="8" max="8" width="11.8984375" style="5" customWidth="1"/>
    <col min="9" max="9" width="50.8984375" style="5" customWidth="1"/>
    <col min="10" max="10" width="3.3984375" style="5" customWidth="1"/>
    <col min="11" max="11" width="12.89843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3">
      <c r="A1" s="1"/>
      <c r="B1" s="63" t="s">
        <v>39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6" customFormat="1" ht="18" customHeight="1" x14ac:dyDescent="0.3">
      <c r="A2" s="15"/>
      <c r="B2" s="15"/>
      <c r="C2" s="15" t="s">
        <v>15</v>
      </c>
      <c r="D2" s="15"/>
      <c r="E2" s="15" t="s">
        <v>17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</row>
    <row r="3" spans="1:258" ht="30" customHeight="1" thickBot="1" x14ac:dyDescent="0.3">
      <c r="A3" s="1"/>
      <c r="B3" s="1"/>
      <c r="C3" s="36" t="s">
        <v>39</v>
      </c>
      <c r="D3" s="1"/>
      <c r="E3" s="61">
        <v>46082</v>
      </c>
      <c r="F3" s="1"/>
      <c r="G3" s="1"/>
      <c r="H3" s="1" t="s">
        <v>19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6" customFormat="1" ht="18" customHeight="1" thickBot="1" x14ac:dyDescent="0.35">
      <c r="A4" s="15"/>
      <c r="B4" s="15"/>
      <c r="C4" s="37" t="s">
        <v>16</v>
      </c>
      <c r="D4" s="15"/>
      <c r="E4" s="37" t="s">
        <v>18</v>
      </c>
      <c r="F4" s="15"/>
      <c r="G4" s="15"/>
      <c r="H4" s="15" t="s">
        <v>20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</row>
    <row r="5" spans="1:258" ht="30" customHeight="1" thickBot="1" x14ac:dyDescent="0.3">
      <c r="A5" s="1"/>
      <c r="B5" s="1"/>
      <c r="C5" s="60" t="s">
        <v>48</v>
      </c>
      <c r="D5" s="1"/>
      <c r="E5" s="61">
        <v>46536</v>
      </c>
      <c r="F5" s="1"/>
      <c r="G5" s="1"/>
      <c r="H5" s="62">
        <f>IF(E3=0,0,E5-E3)+1</f>
        <v>455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38"/>
      <c r="F6" s="1"/>
      <c r="G6" s="1"/>
      <c r="H6" s="3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5">
      <c r="A7" s="8"/>
      <c r="B7" s="40" t="s">
        <v>4</v>
      </c>
      <c r="C7" s="40" t="s">
        <v>8</v>
      </c>
      <c r="D7" s="40" t="s">
        <v>9</v>
      </c>
      <c r="E7" s="40" t="s">
        <v>10</v>
      </c>
      <c r="F7" s="43" t="s">
        <v>11</v>
      </c>
      <c r="G7" s="44" t="s">
        <v>12</v>
      </c>
      <c r="H7" s="40" t="s">
        <v>13</v>
      </c>
      <c r="I7" s="40" t="s">
        <v>14</v>
      </c>
      <c r="J7" s="8"/>
      <c r="K7" s="66" t="s">
        <v>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" customHeight="1" x14ac:dyDescent="0.3">
      <c r="A8" s="6"/>
      <c r="B8" s="39">
        <v>1</v>
      </c>
      <c r="C8" s="67" t="s">
        <v>40</v>
      </c>
      <c r="D8" s="41"/>
      <c r="E8" s="41" t="s">
        <v>49</v>
      </c>
      <c r="F8" s="42">
        <v>46082</v>
      </c>
      <c r="G8" s="45">
        <v>46123</v>
      </c>
      <c r="H8" s="46">
        <f>IF(F8=0,0,G8-F8)+1</f>
        <v>42</v>
      </c>
      <c r="I8" s="47"/>
      <c r="J8" s="6"/>
      <c r="K8" s="65" t="s">
        <v>23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24.9" customHeight="1" outlineLevel="1" x14ac:dyDescent="0.3">
      <c r="A9" s="6"/>
      <c r="B9" s="2">
        <v>1.1000000000000001</v>
      </c>
      <c r="C9" s="10" t="s">
        <v>41</v>
      </c>
      <c r="D9" s="3" t="s">
        <v>21</v>
      </c>
      <c r="E9" s="4" t="s">
        <v>51</v>
      </c>
      <c r="F9" s="48">
        <v>46124</v>
      </c>
      <c r="G9" s="48">
        <v>46137</v>
      </c>
      <c r="H9" s="52">
        <f>IF(F9=0,0,G9-F9)+1</f>
        <v>14</v>
      </c>
      <c r="I9" s="2"/>
      <c r="J9" s="6"/>
      <c r="K9" s="64" t="s">
        <v>22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24.9" customHeight="1" outlineLevel="1" x14ac:dyDescent="0.3">
      <c r="A10" s="6"/>
      <c r="B10" s="2" t="s">
        <v>0</v>
      </c>
      <c r="C10" s="11" t="s">
        <v>42</v>
      </c>
      <c r="D10" s="3" t="s">
        <v>21</v>
      </c>
      <c r="E10" s="4" t="s">
        <v>52</v>
      </c>
      <c r="F10" s="48">
        <v>46138</v>
      </c>
      <c r="G10" s="48">
        <v>46144</v>
      </c>
      <c r="H10" s="52">
        <f t="shared" ref="H10:H32" si="0">IF(F10=0,0,G10-F10)+1</f>
        <v>7</v>
      </c>
      <c r="I10" s="2"/>
      <c r="J10" s="6"/>
      <c r="K10" s="68" t="s">
        <v>21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24.9" customHeight="1" outlineLevel="1" x14ac:dyDescent="0.3">
      <c r="A11" s="6"/>
      <c r="B11" s="2">
        <v>1.2</v>
      </c>
      <c r="C11" s="10" t="s">
        <v>43</v>
      </c>
      <c r="D11" s="3" t="s">
        <v>21</v>
      </c>
      <c r="E11" s="70" t="s">
        <v>50</v>
      </c>
      <c r="F11" s="48">
        <v>46145</v>
      </c>
      <c r="G11" s="48">
        <v>46193</v>
      </c>
      <c r="H11" s="52">
        <f t="shared" si="0"/>
        <v>49</v>
      </c>
      <c r="I11" s="2"/>
      <c r="J11" s="6"/>
      <c r="K11" s="69" t="s">
        <v>24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4.9" customHeight="1" outlineLevel="1" x14ac:dyDescent="0.25">
      <c r="A12" s="6"/>
      <c r="B12" s="2">
        <v>1.3</v>
      </c>
      <c r="C12" s="10" t="s">
        <v>44</v>
      </c>
      <c r="D12" s="3" t="s">
        <v>21</v>
      </c>
      <c r="E12" s="4" t="s">
        <v>49</v>
      </c>
      <c r="F12" s="48">
        <v>46194</v>
      </c>
      <c r="G12" s="48">
        <v>46207</v>
      </c>
      <c r="H12" s="52">
        <f t="shared" si="0"/>
        <v>14</v>
      </c>
      <c r="I12" s="2"/>
      <c r="J12" s="6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4.9" customHeight="1" outlineLevel="1" x14ac:dyDescent="0.25">
      <c r="A13" s="6"/>
      <c r="B13" s="2">
        <v>1.4</v>
      </c>
      <c r="C13" s="10" t="s">
        <v>45</v>
      </c>
      <c r="D13" s="3" t="s">
        <v>21</v>
      </c>
      <c r="E13" s="4" t="s">
        <v>51</v>
      </c>
      <c r="F13" s="48">
        <v>46208</v>
      </c>
      <c r="G13" s="48">
        <v>46221</v>
      </c>
      <c r="H13" s="52">
        <f t="shared" si="0"/>
        <v>14</v>
      </c>
      <c r="I13" s="2"/>
      <c r="J13" s="6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4.9" customHeight="1" outlineLevel="1" x14ac:dyDescent="0.25">
      <c r="A14" s="6"/>
      <c r="B14" s="2">
        <v>1.5</v>
      </c>
      <c r="C14" s="10" t="s">
        <v>46</v>
      </c>
      <c r="D14" s="3" t="s">
        <v>21</v>
      </c>
      <c r="E14" s="4" t="s">
        <v>52</v>
      </c>
      <c r="F14" s="48">
        <v>46222</v>
      </c>
      <c r="G14" s="49">
        <v>46235</v>
      </c>
      <c r="H14" s="52">
        <f t="shared" si="0"/>
        <v>14</v>
      </c>
      <c r="I14" s="2"/>
      <c r="J14" s="6"/>
      <c r="K14" s="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4.9" customHeight="1" outlineLevel="1" thickBot="1" x14ac:dyDescent="0.3">
      <c r="A15" s="6"/>
      <c r="B15" s="13">
        <v>1.6</v>
      </c>
      <c r="C15" s="12" t="s">
        <v>47</v>
      </c>
      <c r="D15" s="3" t="s">
        <v>21</v>
      </c>
      <c r="E15" s="70" t="s">
        <v>50</v>
      </c>
      <c r="F15" s="50">
        <v>46236</v>
      </c>
      <c r="G15" s="51">
        <v>46256</v>
      </c>
      <c r="H15" s="53">
        <f t="shared" si="0"/>
        <v>21</v>
      </c>
      <c r="I15" s="13"/>
      <c r="J15" s="6"/>
      <c r="K15" s="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4.9" customHeight="1" x14ac:dyDescent="0.25">
      <c r="A16" s="6"/>
      <c r="B16" s="20">
        <v>2</v>
      </c>
      <c r="C16" s="20" t="s">
        <v>5</v>
      </c>
      <c r="D16" s="23"/>
      <c r="E16" s="24" t="s">
        <v>49</v>
      </c>
      <c r="F16" s="25">
        <v>46257</v>
      </c>
      <c r="G16" s="26">
        <v>46277</v>
      </c>
      <c r="H16" s="27">
        <f t="shared" si="0"/>
        <v>21</v>
      </c>
      <c r="I16" s="17"/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" customHeight="1" outlineLevel="1" x14ac:dyDescent="0.25">
      <c r="A17" s="6"/>
      <c r="B17" s="2">
        <v>2.1</v>
      </c>
      <c r="C17" s="10" t="s">
        <v>25</v>
      </c>
      <c r="D17" s="3" t="s">
        <v>21</v>
      </c>
      <c r="E17" s="4" t="s">
        <v>51</v>
      </c>
      <c r="F17" s="48">
        <v>45685</v>
      </c>
      <c r="G17" s="49">
        <v>45694</v>
      </c>
      <c r="H17" s="54">
        <f t="shared" si="0"/>
        <v>10</v>
      </c>
      <c r="I17" s="2"/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" customHeight="1" outlineLevel="1" x14ac:dyDescent="0.25">
      <c r="A18" s="6"/>
      <c r="B18" s="2">
        <v>2.2000000000000002</v>
      </c>
      <c r="C18" s="10" t="s">
        <v>26</v>
      </c>
      <c r="D18" s="3" t="s">
        <v>24</v>
      </c>
      <c r="E18" s="4" t="s">
        <v>52</v>
      </c>
      <c r="F18" s="48">
        <v>46292</v>
      </c>
      <c r="G18" s="49">
        <v>46298</v>
      </c>
      <c r="H18" s="54">
        <f t="shared" si="0"/>
        <v>7</v>
      </c>
      <c r="I18" s="2"/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4.9" customHeight="1" outlineLevel="1" x14ac:dyDescent="0.25">
      <c r="A19" s="6"/>
      <c r="B19" s="2">
        <v>2.2999999999999998</v>
      </c>
      <c r="C19" s="10" t="s">
        <v>27</v>
      </c>
      <c r="D19" s="3" t="s">
        <v>22</v>
      </c>
      <c r="E19" s="70" t="s">
        <v>50</v>
      </c>
      <c r="F19" s="48">
        <v>46299</v>
      </c>
      <c r="G19" s="49">
        <v>46312</v>
      </c>
      <c r="H19" s="54">
        <f t="shared" si="0"/>
        <v>14</v>
      </c>
      <c r="I19" s="2"/>
      <c r="J19" s="6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4.9" customHeight="1" outlineLevel="1" thickBot="1" x14ac:dyDescent="0.3">
      <c r="A20" s="6"/>
      <c r="B20" s="13">
        <v>2.4</v>
      </c>
      <c r="C20" s="12" t="s">
        <v>28</v>
      </c>
      <c r="D20" s="3" t="s">
        <v>23</v>
      </c>
      <c r="E20" s="4" t="s">
        <v>49</v>
      </c>
      <c r="F20" s="50">
        <v>46313</v>
      </c>
      <c r="G20" s="51">
        <v>46326</v>
      </c>
      <c r="H20" s="55">
        <f t="shared" si="0"/>
        <v>14</v>
      </c>
      <c r="I20" s="13"/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" customHeight="1" x14ac:dyDescent="0.25">
      <c r="A21" s="6"/>
      <c r="B21" s="21">
        <v>3</v>
      </c>
      <c r="C21" s="21" t="s">
        <v>6</v>
      </c>
      <c r="D21" s="28"/>
      <c r="E21" s="4" t="s">
        <v>51</v>
      </c>
      <c r="F21" s="29">
        <v>46327</v>
      </c>
      <c r="G21" s="30">
        <v>46368</v>
      </c>
      <c r="H21" s="31">
        <f t="shared" si="0"/>
        <v>42</v>
      </c>
      <c r="I21" s="18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" customHeight="1" outlineLevel="1" x14ac:dyDescent="0.25">
      <c r="A22" s="6"/>
      <c r="B22" s="2">
        <v>3.1</v>
      </c>
      <c r="C22" s="10" t="s">
        <v>29</v>
      </c>
      <c r="D22" s="3" t="s">
        <v>23</v>
      </c>
      <c r="E22" s="4" t="s">
        <v>52</v>
      </c>
      <c r="F22" s="48">
        <v>46369</v>
      </c>
      <c r="G22" s="49">
        <v>46375</v>
      </c>
      <c r="H22" s="56">
        <f t="shared" si="0"/>
        <v>7</v>
      </c>
      <c r="I22" s="2"/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24.9" customHeight="1" outlineLevel="1" x14ac:dyDescent="0.25">
      <c r="A23" s="6"/>
      <c r="B23" s="2">
        <v>3.2</v>
      </c>
      <c r="C23" s="10" t="s">
        <v>30</v>
      </c>
      <c r="D23" s="3" t="s">
        <v>23</v>
      </c>
      <c r="E23" s="70" t="s">
        <v>50</v>
      </c>
      <c r="F23" s="48">
        <v>46376</v>
      </c>
      <c r="G23" s="49">
        <v>46382</v>
      </c>
      <c r="H23" s="56">
        <f t="shared" si="0"/>
        <v>7</v>
      </c>
      <c r="I23" s="2"/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s="7" customFormat="1" ht="24.9" customHeight="1" outlineLevel="1" x14ac:dyDescent="0.25">
      <c r="A24" s="6"/>
      <c r="B24" s="2" t="s">
        <v>1</v>
      </c>
      <c r="C24" s="11" t="s">
        <v>31</v>
      </c>
      <c r="D24" s="3" t="s">
        <v>23</v>
      </c>
      <c r="E24" s="4" t="s">
        <v>49</v>
      </c>
      <c r="F24" s="48">
        <v>46397</v>
      </c>
      <c r="G24" s="49">
        <v>46396</v>
      </c>
      <c r="H24" s="56">
        <f t="shared" si="0"/>
        <v>0</v>
      </c>
      <c r="I24" s="2"/>
      <c r="J24" s="6"/>
      <c r="K24" s="1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</row>
    <row r="25" spans="1:258" s="7" customFormat="1" ht="24.9" customHeight="1" outlineLevel="1" x14ac:dyDescent="0.25">
      <c r="A25" s="6"/>
      <c r="B25" s="2" t="s">
        <v>2</v>
      </c>
      <c r="C25" s="11" t="s">
        <v>32</v>
      </c>
      <c r="D25" s="3" t="s">
        <v>22</v>
      </c>
      <c r="E25" s="4" t="s">
        <v>51</v>
      </c>
      <c r="F25" s="48">
        <v>46383</v>
      </c>
      <c r="G25" s="49">
        <v>46403</v>
      </c>
      <c r="H25" s="56">
        <f t="shared" si="0"/>
        <v>21</v>
      </c>
      <c r="I25" s="2"/>
      <c r="J25" s="6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</row>
    <row r="26" spans="1:258" s="7" customFormat="1" ht="24.9" customHeight="1" outlineLevel="1" x14ac:dyDescent="0.25">
      <c r="A26" s="6"/>
      <c r="B26" s="2">
        <v>3.3</v>
      </c>
      <c r="C26" s="10" t="s">
        <v>33</v>
      </c>
      <c r="D26" s="3" t="s">
        <v>24</v>
      </c>
      <c r="E26" s="4" t="s">
        <v>52</v>
      </c>
      <c r="F26" s="48">
        <v>46404</v>
      </c>
      <c r="G26" s="49">
        <v>46410</v>
      </c>
      <c r="H26" s="56">
        <f t="shared" si="0"/>
        <v>7</v>
      </c>
      <c r="I26" s="2"/>
      <c r="J26" s="6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</row>
    <row r="27" spans="1:258" s="7" customFormat="1" ht="24.9" customHeight="1" outlineLevel="1" thickBot="1" x14ac:dyDescent="0.3">
      <c r="A27" s="6"/>
      <c r="B27" s="13" t="s">
        <v>3</v>
      </c>
      <c r="C27" s="14" t="s">
        <v>34</v>
      </c>
      <c r="D27" s="3" t="s">
        <v>22</v>
      </c>
      <c r="E27" s="70" t="s">
        <v>50</v>
      </c>
      <c r="F27" s="50">
        <v>46411</v>
      </c>
      <c r="G27" s="51">
        <v>46445</v>
      </c>
      <c r="H27" s="57">
        <f t="shared" si="0"/>
        <v>35</v>
      </c>
      <c r="I27" s="13"/>
      <c r="J27" s="6"/>
      <c r="K27" s="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</row>
    <row r="28" spans="1:258" s="7" customFormat="1" ht="24.9" customHeight="1" x14ac:dyDescent="0.25">
      <c r="A28" s="6"/>
      <c r="B28" s="22">
        <v>4</v>
      </c>
      <c r="C28" s="22" t="s">
        <v>7</v>
      </c>
      <c r="D28" s="32"/>
      <c r="E28" s="4" t="s">
        <v>49</v>
      </c>
      <c r="F28" s="33">
        <v>46446</v>
      </c>
      <c r="G28" s="34">
        <v>46480</v>
      </c>
      <c r="H28" s="35">
        <f t="shared" si="0"/>
        <v>35</v>
      </c>
      <c r="I28" s="19"/>
      <c r="J28" s="6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</row>
    <row r="29" spans="1:258" s="7" customFormat="1" ht="24.9" customHeight="1" outlineLevel="1" x14ac:dyDescent="0.25">
      <c r="A29" s="6"/>
      <c r="B29" s="2">
        <v>4.0999999999999996</v>
      </c>
      <c r="C29" s="10" t="s">
        <v>35</v>
      </c>
      <c r="D29" s="3" t="s">
        <v>23</v>
      </c>
      <c r="E29" s="4" t="s">
        <v>51</v>
      </c>
      <c r="F29" s="48">
        <v>46397</v>
      </c>
      <c r="G29" s="49">
        <v>46403</v>
      </c>
      <c r="H29" s="58">
        <f t="shared" si="0"/>
        <v>7</v>
      </c>
      <c r="I29" s="2"/>
      <c r="J29" s="6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</row>
    <row r="30" spans="1:258" s="7" customFormat="1" ht="24.9" customHeight="1" outlineLevel="1" x14ac:dyDescent="0.25">
      <c r="A30" s="6"/>
      <c r="B30" s="2">
        <v>4.2</v>
      </c>
      <c r="C30" s="10" t="s">
        <v>36</v>
      </c>
      <c r="D30" s="3" t="s">
        <v>22</v>
      </c>
      <c r="E30" s="4" t="s">
        <v>52</v>
      </c>
      <c r="F30" s="48">
        <v>46488</v>
      </c>
      <c r="G30" s="49">
        <v>46494</v>
      </c>
      <c r="H30" s="58">
        <f t="shared" si="0"/>
        <v>7</v>
      </c>
      <c r="I30" s="2"/>
      <c r="J30" s="6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4.9" customHeight="1" outlineLevel="1" x14ac:dyDescent="0.25">
      <c r="A31" s="6"/>
      <c r="B31" s="2">
        <v>4.3</v>
      </c>
      <c r="C31" s="10" t="s">
        <v>37</v>
      </c>
      <c r="D31" s="3" t="s">
        <v>23</v>
      </c>
      <c r="E31" s="70" t="s">
        <v>50</v>
      </c>
      <c r="F31" s="48">
        <v>46495</v>
      </c>
      <c r="G31" s="49">
        <v>46508</v>
      </c>
      <c r="H31" s="58">
        <f t="shared" si="0"/>
        <v>14</v>
      </c>
      <c r="I31" s="2"/>
      <c r="J31" s="6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" customHeight="1" outlineLevel="1" thickBot="1" x14ac:dyDescent="0.3">
      <c r="A32" s="6"/>
      <c r="B32" s="13">
        <v>4.4000000000000004</v>
      </c>
      <c r="C32" s="12" t="s">
        <v>38</v>
      </c>
      <c r="D32" s="3" t="s">
        <v>23</v>
      </c>
      <c r="E32" s="70" t="s">
        <v>50</v>
      </c>
      <c r="F32" s="50">
        <v>46509</v>
      </c>
      <c r="G32" s="51">
        <v>46536</v>
      </c>
      <c r="H32" s="59">
        <f t="shared" si="0"/>
        <v>28</v>
      </c>
      <c r="I32" s="13"/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ht="30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30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</sheetData>
  <phoneticPr fontId="3" type="noConversion"/>
  <conditionalFormatting sqref="D8:D32">
    <cfRule type="containsText" dxfId="23" priority="17" operator="containsText" text="On Hold">
      <formula>NOT(ISERROR(SEARCH("On Hold",D8)))</formula>
    </cfRule>
    <cfRule type="containsText" dxfId="22" priority="18" operator="containsText" text="Complete">
      <formula>NOT(ISERROR(SEARCH("Complete",D8)))</formula>
    </cfRule>
    <cfRule type="containsText" dxfId="21" priority="19" operator="containsText" text="In Progress">
      <formula>NOT(ISERROR(SEARCH("In Progress",D8)))</formula>
    </cfRule>
    <cfRule type="containsText" dxfId="20" priority="20" operator="containsText" text="Not Started">
      <formula>NOT(ISERROR(SEARCH("Not Started",D8)))</formula>
    </cfRule>
  </conditionalFormatting>
  <conditionalFormatting sqref="D9:D15">
    <cfRule type="cellIs" dxfId="19" priority="13" operator="equal">
      <formula>"En Espera"</formula>
    </cfRule>
    <cfRule type="cellIs" dxfId="18" priority="14" operator="equal">
      <formula>"En Progreso"</formula>
    </cfRule>
    <cfRule type="cellIs" dxfId="17" priority="15" operator="equal">
      <formula>"No Iniciado"</formula>
    </cfRule>
    <cfRule type="cellIs" dxfId="16" priority="16" operator="equal">
      <formula>"Completo"</formula>
    </cfRule>
  </conditionalFormatting>
  <conditionalFormatting sqref="D17:D20">
    <cfRule type="cellIs" dxfId="15" priority="9" operator="equal">
      <formula>"En Espera"</formula>
    </cfRule>
    <cfRule type="cellIs" dxfId="14" priority="10" operator="equal">
      <formula>"En Progreso"</formula>
    </cfRule>
    <cfRule type="cellIs" dxfId="13" priority="11" operator="equal">
      <formula>"No Iniciado"</formula>
    </cfRule>
    <cfRule type="cellIs" dxfId="12" priority="12" operator="equal">
      <formula>"Completo"</formula>
    </cfRule>
  </conditionalFormatting>
  <conditionalFormatting sqref="D22:D27">
    <cfRule type="cellIs" dxfId="11" priority="5" operator="equal">
      <formula>"En Espera"</formula>
    </cfRule>
    <cfRule type="cellIs" dxfId="10" priority="6" operator="equal">
      <formula>"En Progreso"</formula>
    </cfRule>
    <cfRule type="cellIs" dxfId="9" priority="7" operator="equal">
      <formula>"No Iniciado"</formula>
    </cfRule>
    <cfRule type="cellIs" dxfId="8" priority="8" operator="equal">
      <formula>"Completo"</formula>
    </cfRule>
  </conditionalFormatting>
  <conditionalFormatting sqref="D29:D32">
    <cfRule type="cellIs" dxfId="7" priority="1" operator="equal">
      <formula>"En Espera"</formula>
    </cfRule>
    <cfRule type="cellIs" dxfId="6" priority="2" operator="equal">
      <formula>"En Progreso"</formula>
    </cfRule>
    <cfRule type="cellIs" dxfId="5" priority="3" operator="equal">
      <formula>"No Iniciado"</formula>
    </cfRule>
    <cfRule type="cellIs" dxfId="4" priority="4" operator="equal">
      <formula>"Completo"</formula>
    </cfRule>
  </conditionalFormatting>
  <conditionalFormatting sqref="K8:K11">
    <cfRule type="containsText" dxfId="3" priority="29" stopIfTrue="1" operator="containsText" text="On Hold">
      <formula>NOT(ISERROR(SEARCH("On Hold",K8)))</formula>
    </cfRule>
    <cfRule type="containsText" dxfId="2" priority="30" operator="containsText" text="Complete">
      <formula>NOT(ISERROR(SEARCH("Complete",K8)))</formula>
    </cfRule>
    <cfRule type="containsText" dxfId="1" priority="31" operator="containsText" text="In Progress">
      <formula>NOT(ISERROR(SEARCH("In Progress",K8)))</formula>
    </cfRule>
    <cfRule type="containsText" dxfId="0" priority="32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32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jahiro bermejo</cp:lastModifiedBy>
  <dcterms:created xsi:type="dcterms:W3CDTF">2015-02-24T20:54:23Z</dcterms:created>
  <dcterms:modified xsi:type="dcterms:W3CDTF">2026-02-28T04:14:38Z</dcterms:modified>
</cp:coreProperties>
</file>