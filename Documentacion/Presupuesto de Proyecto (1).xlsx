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unilibrebog-my.sharepoint.com/personal/miguelj-ramirezr_unilibre_edu_co/Documents/"/>
    </mc:Choice>
  </mc:AlternateContent>
  <xr:revisionPtr revIDLastSave="222" documentId="8_{154B2112-FCC6-4F78-B925-9C00EB70A9B4}" xr6:coauthVersionLast="47" xr6:coauthVersionMax="47" xr10:uidLastSave="{A3112AAB-FAD7-424D-A30F-39CB2C7C7D5F}"/>
  <bookViews>
    <workbookView xWindow="-108" yWindow="-108" windowWidth="23256" windowHeight="12456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proyecto'!$B$1:$U$28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8" i="6" l="1"/>
  <c r="E10" i="6"/>
  <c r="T8" i="6"/>
  <c r="O9" i="6"/>
  <c r="L6" i="6"/>
  <c r="L7" i="6"/>
  <c r="L11" i="6"/>
  <c r="L12" i="6"/>
  <c r="L13" i="6"/>
  <c r="L5" i="6"/>
  <c r="J6" i="6"/>
  <c r="J7" i="6"/>
  <c r="L8" i="6"/>
  <c r="J9" i="6"/>
  <c r="L9" i="6" s="1"/>
  <c r="J10" i="6"/>
  <c r="L10" i="6" s="1"/>
  <c r="J11" i="6"/>
  <c r="J12" i="6"/>
  <c r="J13" i="6"/>
  <c r="J5" i="6"/>
  <c r="E7" i="6"/>
  <c r="E8" i="6"/>
  <c r="E9" i="6"/>
  <c r="E11" i="6"/>
  <c r="E12" i="6"/>
  <c r="E13" i="6"/>
  <c r="E6" i="6"/>
  <c r="O5" i="6"/>
  <c r="S14" i="6"/>
  <c r="S28" i="6"/>
  <c r="L19" i="6"/>
  <c r="L20" i="6"/>
  <c r="L21" i="6"/>
  <c r="L22" i="6"/>
  <c r="T22" i="6" s="1"/>
  <c r="U22" i="6" s="1"/>
  <c r="L23" i="6"/>
  <c r="T23" i="6" s="1"/>
  <c r="U23" i="6" s="1"/>
  <c r="L24" i="6"/>
  <c r="T24" i="6" s="1"/>
  <c r="U24" i="6" s="1"/>
  <c r="L25" i="6"/>
  <c r="T25" i="6" s="1"/>
  <c r="U25" i="6" s="1"/>
  <c r="L26" i="6"/>
  <c r="T26" i="6" s="1"/>
  <c r="U26" i="6" s="1"/>
  <c r="L27" i="6"/>
  <c r="T27" i="6" s="1"/>
  <c r="U27" i="6" s="1"/>
  <c r="L28" i="6"/>
  <c r="O19" i="6"/>
  <c r="T19" i="6" s="1"/>
  <c r="U19" i="6" s="1"/>
  <c r="O20" i="6"/>
  <c r="O21" i="6"/>
  <c r="O22" i="6"/>
  <c r="O23" i="6"/>
  <c r="O24" i="6"/>
  <c r="O25" i="6"/>
  <c r="O26" i="6"/>
  <c r="O27" i="6"/>
  <c r="P28" i="6"/>
  <c r="Q28" i="6"/>
  <c r="R28" i="6"/>
  <c r="T20" i="6"/>
  <c r="U20" i="6" s="1"/>
  <c r="O6" i="6"/>
  <c r="O7" i="6"/>
  <c r="O8" i="6"/>
  <c r="O10" i="6"/>
  <c r="O11" i="6"/>
  <c r="O12" i="6"/>
  <c r="O13" i="6"/>
  <c r="P14" i="6"/>
  <c r="Q14" i="6"/>
  <c r="R14" i="6"/>
  <c r="T9" i="6" l="1"/>
  <c r="U9" i="6" s="1"/>
  <c r="U8" i="6"/>
  <c r="T12" i="6"/>
  <c r="U12" i="6" s="1"/>
  <c r="T11" i="6"/>
  <c r="U11" i="6" s="1"/>
  <c r="T10" i="6"/>
  <c r="U10" i="6" s="1"/>
  <c r="T21" i="6"/>
  <c r="U21" i="6" s="1"/>
  <c r="O28" i="6"/>
  <c r="T13" i="6"/>
  <c r="U13" i="6" s="1"/>
  <c r="T28" i="6"/>
  <c r="U28" i="6" s="1"/>
  <c r="T5" i="6"/>
  <c r="U5" i="6" s="1"/>
  <c r="O14" i="6"/>
  <c r="T7" i="6"/>
  <c r="U7" i="6" s="1"/>
  <c r="T6" i="6"/>
  <c r="U6" i="6" s="1"/>
  <c r="L14" i="6"/>
  <c r="T14" i="6" l="1"/>
  <c r="U14" i="6" s="1"/>
</calcChain>
</file>

<file path=xl/sharedStrings.xml><?xml version="1.0" encoding="utf-8"?>
<sst xmlns="http://schemas.openxmlformats.org/spreadsheetml/2006/main" count="110" uniqueCount="57">
  <si>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</si>
  <si>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</si>
  <si>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</si>
  <si>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</si>
  <si>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</si>
  <si>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</si>
  <si>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</si>
  <si>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</si>
  <si>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</si>
  <si>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</si>
  <si>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</si>
  <si>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</si>
  <si>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N° Trabajadores</t>
  </si>
  <si>
    <t>HORAS * Trabajador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</si>
  <si>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</si>
  <si>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</si>
  <si>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</si>
  <si>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</si>
  <si>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</si>
  <si>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</si>
  <si>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</si>
  <si>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</si>
  <si>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</si>
  <si>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</si>
  <si>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</si>
  <si>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</si>
  <si>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PROJECT 1</t>
  </si>
  <si>
    <t>Documentacion de proyecto y presupuesto</t>
  </si>
  <si>
    <t>Se realizara la documentacion del documento en relacion a lo visto en clase junto al presupuesto, complementando con diagramas UML, HT y HU</t>
  </si>
  <si>
    <t>En Progreso</t>
  </si>
  <si>
    <t>mockup</t>
  </si>
  <si>
    <t xml:space="preserve">Uso de herramientas digitales mediante las cuales se generara un mockup </t>
  </si>
  <si>
    <t>En Espera</t>
  </si>
  <si>
    <t>prototipo</t>
  </si>
  <si>
    <t>Generamos un prototipo en base al mockup anteriormente creado con el fin de generar una base funcional de lo que es el proyecto</t>
  </si>
  <si>
    <t>pruebas</t>
  </si>
  <si>
    <t>Pruebas unitarias y certificaciones de requerimientos funcionales las cuales deran mejoras, fallos y ventajas del prototipo</t>
  </si>
  <si>
    <t>No Iniciado</t>
  </si>
  <si>
    <t xml:space="preserve">mantenimiento </t>
  </si>
  <si>
    <t>Con respecto a las pruebas y el feedback dado por la docente, se generara un mantenimiento "Expres" en el cual se refinara el codigo lo mas posible</t>
  </si>
  <si>
    <t xml:space="preserve">presentacion prototipo final </t>
  </si>
  <si>
    <t>Task</t>
  </si>
  <si>
    <t>SUBTOTAL</t>
  </si>
  <si>
    <t>HORAS</t>
  </si>
  <si>
    <t>PROJECT 2</t>
  </si>
  <si>
    <t>listas desplegables</t>
  </si>
  <si>
    <t>SI / NO</t>
  </si>
  <si>
    <t>PRIORIDAD</t>
  </si>
  <si>
    <t>Si</t>
  </si>
  <si>
    <t>Baja</t>
  </si>
  <si>
    <t>No</t>
  </si>
  <si>
    <t>Media</t>
  </si>
  <si>
    <t>Alta</t>
  </si>
  <si>
    <t>Completo</t>
  </si>
  <si>
    <t>Requiere Revisión</t>
  </si>
  <si>
    <t>Aprobado</t>
  </si>
  <si>
    <t>Atrasado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</si>
</sst>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mm/dd/yy;@"/>
    <numFmt numFmtId="166" formatCode="_(&quot;$&quot;* #,##0_);_(&quot;$&quot;* \(#,##0\);_(&quot;$&quot;* &quot;-&quot;??_);_(@_)"/>
  </numFmts>
  <fonts count="18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name val="Century Gothic"/>
      <family val="1"/>
    </font>
    <font>
      <sz val="10"/>
      <color theme="1"/>
      <name val="Century Gothic"/>
      <family val="1"/>
    </font>
    <font>
      <b/>
      <sz val="10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</fonts>
  <fills count="1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38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dashed">
        <color theme="0" tint="-0.34998626667073579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dashed">
        <color theme="0" tint="-0.34998626667073579"/>
      </left>
      <right/>
      <top style="thin">
        <color theme="0" tint="-0.249977111117893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0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0" tint="-0.249977111117893"/>
      </top>
      <bottom style="thin">
        <color theme="1" tint="0.499984740745262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</cellStyleXfs>
  <cellXfs count="113">
    <xf numFmtId="0" fontId="0" fillId="0" borderId="0" xfId="0"/>
    <xf numFmtId="164" fontId="4" fillId="3" borderId="0" xfId="0" applyNumberFormat="1" applyFont="1" applyFill="1" applyAlignment="1" applyProtection="1">
      <alignment wrapText="1"/>
      <protection locked="0"/>
    </xf>
    <xf numFmtId="7" fontId="4" fillId="3" borderId="0" xfId="1" applyNumberFormat="1" applyFont="1" applyFill="1" applyBorder="1" applyAlignment="1" applyProtection="1">
      <alignment wrapText="1"/>
      <protection locked="0"/>
    </xf>
    <xf numFmtId="43" fontId="6" fillId="3" borderId="0" xfId="0" applyNumberFormat="1" applyFont="1" applyFill="1" applyAlignment="1" applyProtection="1">
      <alignment horizontal="left" vertical="top" wrapText="1"/>
      <protection locked="0"/>
    </xf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3" fillId="3" borderId="0" xfId="0" applyFont="1" applyFill="1" applyAlignment="1">
      <alignment horizontal="center" wrapText="1"/>
    </xf>
    <xf numFmtId="43" fontId="4" fillId="3" borderId="0" xfId="1" applyNumberFormat="1" applyFont="1" applyFill="1" applyBorder="1" applyAlignment="1" applyProtection="1">
      <alignment wrapText="1"/>
    </xf>
    <xf numFmtId="0" fontId="7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  <xf numFmtId="164" fontId="4" fillId="3" borderId="0" xfId="0" applyNumberFormat="1" applyFont="1" applyFill="1" applyAlignment="1" applyProtection="1">
      <alignment horizontal="left" vertical="center" wrapText="1" indent="1"/>
      <protection locked="0"/>
    </xf>
    <xf numFmtId="7" fontId="4" fillId="3" borderId="0" xfId="1" applyNumberFormat="1" applyFont="1" applyFill="1" applyBorder="1" applyAlignment="1" applyProtection="1">
      <alignment horizontal="left" vertical="center" wrapText="1" indent="1"/>
      <protection locked="0"/>
    </xf>
    <xf numFmtId="43" fontId="4" fillId="3" borderId="0" xfId="1" applyNumberFormat="1" applyFont="1" applyFill="1" applyBorder="1" applyAlignment="1" applyProtection="1">
      <alignment horizontal="left" vertical="center" wrapText="1" indent="1"/>
    </xf>
    <xf numFmtId="43" fontId="6" fillId="3" borderId="0" xfId="0" applyNumberFormat="1" applyFont="1" applyFill="1" applyAlignment="1" applyProtection="1">
      <alignment horizontal="left" vertical="center" wrapText="1" indent="1"/>
      <protection locked="0"/>
    </xf>
    <xf numFmtId="0" fontId="5" fillId="3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 indent="1"/>
    </xf>
    <xf numFmtId="165" fontId="11" fillId="5" borderId="1" xfId="0" applyNumberFormat="1" applyFont="1" applyFill="1" applyBorder="1" applyAlignment="1">
      <alignment horizontal="left" vertical="center" wrapText="1" indent="1"/>
    </xf>
    <xf numFmtId="0" fontId="9" fillId="3" borderId="0" xfId="0" applyFont="1" applyFill="1" applyAlignment="1">
      <alignment vertical="center"/>
    </xf>
    <xf numFmtId="0" fontId="13" fillId="0" borderId="0" xfId="0" applyFont="1"/>
    <xf numFmtId="0" fontId="5" fillId="7" borderId="1" xfId="0" applyFont="1" applyFill="1" applyBorder="1" applyAlignment="1">
      <alignment horizontal="left" vertical="center" wrapText="1" indent="1"/>
    </xf>
    <xf numFmtId="0" fontId="5" fillId="10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left" vertical="center" wrapText="1" indent="1"/>
    </xf>
    <xf numFmtId="0" fontId="10" fillId="12" borderId="1" xfId="0" applyFont="1" applyFill="1" applyBorder="1" applyAlignment="1">
      <alignment horizontal="left" vertical="center" indent="1"/>
    </xf>
    <xf numFmtId="0" fontId="10" fillId="13" borderId="1" xfId="0" applyFont="1" applyFill="1" applyBorder="1" applyAlignment="1">
      <alignment horizontal="left" vertical="center" indent="1"/>
    </xf>
    <xf numFmtId="0" fontId="10" fillId="7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left" vertical="center" indent="1"/>
    </xf>
    <xf numFmtId="0" fontId="10" fillId="15" borderId="1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1" fillId="2" borderId="2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 applyProtection="1">
      <alignment horizontal="left" vertical="center" wrapText="1" indent="1"/>
      <protection locked="0"/>
    </xf>
    <xf numFmtId="0" fontId="3" fillId="5" borderId="1" xfId="0" applyFont="1" applyFill="1" applyBorder="1" applyAlignment="1">
      <alignment horizontal="left" vertical="center" wrapText="1" indent="1"/>
    </xf>
    <xf numFmtId="7" fontId="11" fillId="5" borderId="1" xfId="1" applyNumberFormat="1" applyFont="1" applyFill="1" applyBorder="1" applyAlignment="1" applyProtection="1">
      <alignment vertical="center"/>
      <protection locked="0"/>
    </xf>
    <xf numFmtId="0" fontId="17" fillId="3" borderId="0" xfId="0" applyFont="1" applyFill="1" applyAlignment="1">
      <alignment vertical="center"/>
    </xf>
    <xf numFmtId="5" fontId="11" fillId="5" borderId="1" xfId="0" applyNumberFormat="1" applyFont="1" applyFill="1" applyBorder="1" applyAlignment="1" applyProtection="1">
      <alignment vertical="center"/>
      <protection locked="0"/>
    </xf>
    <xf numFmtId="165" fontId="5" fillId="0" borderId="1" xfId="0" applyNumberFormat="1" applyFont="1" applyBorder="1" applyAlignment="1" applyProtection="1">
      <alignment horizontal="left" vertical="center" wrapText="1" indent="1"/>
      <protection locked="0"/>
    </xf>
    <xf numFmtId="164" fontId="4" fillId="0" borderId="1" xfId="0" applyNumberFormat="1" applyFont="1" applyBorder="1" applyAlignment="1" applyProtection="1">
      <alignment horizontal="center" vertical="center"/>
      <protection locked="0"/>
    </xf>
    <xf numFmtId="7" fontId="4" fillId="0" borderId="1" xfId="1" applyNumberFormat="1" applyFont="1" applyFill="1" applyBorder="1" applyAlignment="1" applyProtection="1">
      <alignment horizontal="right" vertical="center"/>
      <protection locked="0"/>
    </xf>
    <xf numFmtId="5" fontId="4" fillId="0" borderId="1" xfId="0" applyNumberFormat="1" applyFont="1" applyBorder="1" applyAlignment="1" applyProtection="1">
      <alignment horizontal="right" vertical="center"/>
      <protection locked="0"/>
    </xf>
    <xf numFmtId="0" fontId="11" fillId="2" borderId="10" xfId="0" applyFont="1" applyFill="1" applyBorder="1" applyAlignment="1">
      <alignment horizontal="center" vertical="center" wrapText="1"/>
    </xf>
    <xf numFmtId="5" fontId="11" fillId="5" borderId="10" xfId="1" applyNumberFormat="1" applyFont="1" applyFill="1" applyBorder="1" applyAlignment="1" applyProtection="1">
      <alignment vertical="center"/>
      <protection locked="0"/>
    </xf>
    <xf numFmtId="0" fontId="11" fillId="2" borderId="8" xfId="0" applyFont="1" applyFill="1" applyBorder="1" applyAlignment="1">
      <alignment horizontal="center" vertical="center" wrapText="1"/>
    </xf>
    <xf numFmtId="164" fontId="12" fillId="5" borderId="8" xfId="0" applyNumberFormat="1" applyFont="1" applyFill="1" applyBorder="1" applyAlignment="1" applyProtection="1">
      <alignment horizontal="left" vertical="center"/>
      <protection locked="0"/>
    </xf>
    <xf numFmtId="0" fontId="11" fillId="2" borderId="11" xfId="0" applyFont="1" applyFill="1" applyBorder="1" applyAlignment="1">
      <alignment horizontal="center" vertical="center" wrapText="1"/>
    </xf>
    <xf numFmtId="166" fontId="11" fillId="5" borderId="14" xfId="1" applyNumberFormat="1" applyFont="1" applyFill="1" applyBorder="1" applyAlignment="1" applyProtection="1">
      <alignment vertical="center"/>
      <protection locked="0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166" fontId="11" fillId="5" borderId="15" xfId="1" applyNumberFormat="1" applyFont="1" applyFill="1" applyBorder="1" applyAlignment="1" applyProtection="1">
      <alignment vertical="center"/>
    </xf>
    <xf numFmtId="0" fontId="17" fillId="3" borderId="16" xfId="0" applyFont="1" applyFill="1" applyBorder="1" applyAlignment="1">
      <alignment vertical="center"/>
    </xf>
    <xf numFmtId="0" fontId="11" fillId="2" borderId="17" xfId="0" applyFont="1" applyFill="1" applyBorder="1" applyAlignment="1">
      <alignment horizontal="center" vertical="center" wrapText="1"/>
    </xf>
    <xf numFmtId="165" fontId="11" fillId="5" borderId="18" xfId="0" applyNumberFormat="1" applyFont="1" applyFill="1" applyBorder="1" applyAlignment="1">
      <alignment horizontal="left" vertical="center" wrapText="1" indent="1"/>
    </xf>
    <xf numFmtId="165" fontId="5" fillId="4" borderId="1" xfId="0" applyNumberFormat="1" applyFont="1" applyFill="1" applyBorder="1" applyAlignment="1">
      <alignment horizontal="left" vertical="center" wrapText="1" indent="1"/>
    </xf>
    <xf numFmtId="165" fontId="5" fillId="4" borderId="18" xfId="0" applyNumberFormat="1" applyFont="1" applyFill="1" applyBorder="1" applyAlignment="1">
      <alignment horizontal="left" vertical="center" wrapText="1" indent="1"/>
    </xf>
    <xf numFmtId="0" fontId="5" fillId="4" borderId="8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165" fontId="5" fillId="0" borderId="18" xfId="0" applyNumberFormat="1" applyFont="1" applyBorder="1" applyAlignment="1" applyProtection="1">
      <alignment horizontal="left" vertical="center" wrapText="1" indent="1"/>
      <protection locked="0"/>
    </xf>
    <xf numFmtId="164" fontId="4" fillId="0" borderId="8" xfId="0" applyNumberFormat="1" applyFont="1" applyBorder="1" applyAlignment="1" applyProtection="1">
      <alignment horizontal="center" vertical="center"/>
      <protection locked="0"/>
    </xf>
    <xf numFmtId="5" fontId="4" fillId="4" borderId="1" xfId="1" applyNumberFormat="1" applyFont="1" applyFill="1" applyBorder="1" applyAlignment="1" applyProtection="1">
      <alignment horizontal="right" vertical="center"/>
      <protection locked="0"/>
    </xf>
    <xf numFmtId="5" fontId="4" fillId="0" borderId="10" xfId="1" applyNumberFormat="1" applyFont="1" applyFill="1" applyBorder="1" applyAlignment="1" applyProtection="1">
      <alignment vertical="center"/>
      <protection locked="0"/>
    </xf>
    <xf numFmtId="166" fontId="5" fillId="0" borderId="15" xfId="1" applyNumberFormat="1" applyFont="1" applyFill="1" applyBorder="1" applyAlignment="1" applyProtection="1">
      <alignment vertical="center"/>
    </xf>
    <xf numFmtId="166" fontId="4" fillId="6" borderId="14" xfId="1" applyNumberFormat="1" applyFont="1" applyFill="1" applyBorder="1" applyAlignment="1" applyProtection="1">
      <alignment horizontal="left" vertical="center"/>
      <protection locked="0"/>
    </xf>
    <xf numFmtId="166" fontId="5" fillId="7" borderId="14" xfId="1" applyNumberFormat="1" applyFont="1" applyFill="1" applyBorder="1" applyAlignment="1" applyProtection="1">
      <alignment horizontal="left" vertical="center"/>
    </xf>
    <xf numFmtId="0" fontId="5" fillId="16" borderId="1" xfId="0" applyFont="1" applyFill="1" applyBorder="1" applyAlignment="1">
      <alignment horizontal="left" vertical="center" wrapText="1" indent="1"/>
    </xf>
    <xf numFmtId="0" fontId="10" fillId="17" borderId="1" xfId="0" applyFont="1" applyFill="1" applyBorder="1" applyAlignment="1">
      <alignment horizontal="left" vertical="center" wrapText="1" indent="1" readingOrder="1"/>
    </xf>
    <xf numFmtId="0" fontId="10" fillId="18" borderId="1" xfId="0" applyFont="1" applyFill="1" applyBorder="1" applyAlignment="1">
      <alignment horizontal="left" vertical="center" wrapText="1" indent="1" readingOrder="1"/>
    </xf>
    <xf numFmtId="7" fontId="4" fillId="4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" xfId="0" applyNumberFormat="1" applyFont="1" applyBorder="1" applyAlignment="1" applyProtection="1">
      <alignment horizontal="center" vertical="top"/>
      <protection locked="0"/>
    </xf>
    <xf numFmtId="0" fontId="11" fillId="2" borderId="19" xfId="0" applyFont="1" applyFill="1" applyBorder="1" applyAlignment="1">
      <alignment horizontal="center" vertical="center" wrapText="1"/>
    </xf>
    <xf numFmtId="165" fontId="5" fillId="4" borderId="20" xfId="0" applyNumberFormat="1" applyFont="1" applyFill="1" applyBorder="1" applyAlignment="1">
      <alignment horizontal="left" vertical="center" wrapText="1" indent="1"/>
    </xf>
    <xf numFmtId="165" fontId="5" fillId="0" borderId="20" xfId="0" applyNumberFormat="1" applyFont="1" applyBorder="1" applyAlignment="1" applyProtection="1">
      <alignment horizontal="left" vertical="center" wrapText="1" indent="1"/>
      <protection locked="0"/>
    </xf>
    <xf numFmtId="165" fontId="11" fillId="5" borderId="20" xfId="0" applyNumberFormat="1" applyFont="1" applyFill="1" applyBorder="1" applyAlignment="1">
      <alignment horizontal="left" vertical="center" wrapText="1" indent="1"/>
    </xf>
    <xf numFmtId="165" fontId="5" fillId="4" borderId="19" xfId="0" applyNumberFormat="1" applyFont="1" applyFill="1" applyBorder="1" applyAlignment="1">
      <alignment horizontal="left" vertical="center" wrapText="1" inden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5" fillId="4" borderId="25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left" vertical="center"/>
    </xf>
    <xf numFmtId="164" fontId="4" fillId="0" borderId="25" xfId="0" applyNumberFormat="1" applyFont="1" applyBorder="1" applyAlignment="1" applyProtection="1">
      <alignment horizontal="center" vertical="center"/>
      <protection locked="0"/>
    </xf>
    <xf numFmtId="164" fontId="4" fillId="0" borderId="30" xfId="0" applyNumberFormat="1" applyFont="1" applyBorder="1" applyAlignment="1" applyProtection="1">
      <alignment horizontal="center" vertical="center"/>
      <protection locked="0"/>
    </xf>
    <xf numFmtId="165" fontId="5" fillId="0" borderId="31" xfId="0" applyNumberFormat="1" applyFont="1" applyBorder="1" applyAlignment="1" applyProtection="1">
      <alignment horizontal="left" vertical="center" wrapText="1" indent="1"/>
      <protection locked="0"/>
    </xf>
    <xf numFmtId="2" fontId="5" fillId="0" borderId="32" xfId="0" applyNumberFormat="1" applyFont="1" applyBorder="1" applyAlignment="1" applyProtection="1">
      <alignment horizontal="left" vertical="center" wrapText="1" indent="1"/>
      <protection locked="0"/>
    </xf>
    <xf numFmtId="164" fontId="4" fillId="0" borderId="33" xfId="0" applyNumberFormat="1" applyFont="1" applyBorder="1" applyAlignment="1" applyProtection="1">
      <alignment horizontal="center" vertical="center"/>
      <protection locked="0"/>
    </xf>
    <xf numFmtId="2" fontId="5" fillId="0" borderId="34" xfId="0" applyNumberFormat="1" applyFont="1" applyBorder="1" applyAlignment="1" applyProtection="1">
      <alignment horizontal="left" vertical="center" wrapText="1" indent="1"/>
      <protection locked="0"/>
    </xf>
    <xf numFmtId="165" fontId="11" fillId="5" borderId="19" xfId="0" applyNumberFormat="1" applyFont="1" applyFill="1" applyBorder="1" applyAlignment="1">
      <alignment horizontal="left" vertical="center" wrapText="1" indent="1"/>
    </xf>
    <xf numFmtId="2" fontId="5" fillId="0" borderId="35" xfId="0" applyNumberFormat="1" applyFont="1" applyBorder="1" applyAlignment="1" applyProtection="1">
      <alignment horizontal="left" vertical="center" wrapText="1" indent="1"/>
      <protection locked="0"/>
    </xf>
    <xf numFmtId="2" fontId="5" fillId="0" borderId="36" xfId="0" applyNumberFormat="1" applyFont="1" applyBorder="1" applyAlignment="1" applyProtection="1">
      <alignment horizontal="left" vertical="center" wrapText="1" indent="1"/>
      <protection locked="0"/>
    </xf>
    <xf numFmtId="2" fontId="5" fillId="0" borderId="37" xfId="0" applyNumberFormat="1" applyFont="1" applyBorder="1" applyAlignment="1" applyProtection="1">
      <alignment horizontal="left" vertical="center" wrapText="1" indent="1"/>
      <protection locked="0"/>
    </xf>
    <xf numFmtId="0" fontId="11" fillId="9" borderId="26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11" fillId="9" borderId="9" xfId="0" applyFont="1" applyFill="1" applyBorder="1" applyAlignment="1">
      <alignment horizontal="center" vertical="center" wrapText="1"/>
    </xf>
    <xf numFmtId="0" fontId="11" fillId="9" borderId="12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11" fillId="9" borderId="22" xfId="0" applyFont="1" applyFill="1" applyBorder="1" applyAlignment="1">
      <alignment horizontal="center" vertical="center" wrapText="1"/>
    </xf>
  </cellXfs>
  <cellStyles count="8">
    <cellStyle name="Hipervínculo visitado" xfId="6" builtinId="9" hidden="1"/>
    <cellStyle name="Hipervínculo visitado" xfId="4" builtinId="9" hidden="1"/>
    <cellStyle name="Hipervínculo visitado" xfId="5" builtinId="9" hidden="1"/>
    <cellStyle name="Hipervínculo visitado" xfId="3" builtinId="9" hidden="1"/>
    <cellStyle name="Hipervínculo visitado" xfId="2" builtinId="9" hidden="1"/>
    <cellStyle name="Moneda" xfId="1" builtinId="4"/>
    <cellStyle name="Normal" xfId="0" builtinId="0"/>
    <cellStyle name="Normal 2" xfId="7" xr:uid="{096755C3-0BB5-E94E-8E6C-945830891248}"/>
  </cellStyles>
  <dxfs count="42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260960</xdr:colOff>
      <xdr:row>4</xdr:row>
      <xdr:rowOff>1043836</xdr:rowOff>
    </xdr:from>
    <xdr:to>
      <xdr:col>12</xdr:col>
      <xdr:colOff>2359069</xdr:colOff>
      <xdr:row>4</xdr:row>
      <xdr:rowOff>1858028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A01456-ACFC-45C5-AB8B-4680866B1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63398" y="2880987"/>
          <a:ext cx="2098109" cy="814192"/>
        </a:xfrm>
        <a:prstGeom prst="rect">
          <a:avLst/>
        </a:prstGeom>
      </xdr:spPr>
    </xdr:pic>
    <xdr:clientData/>
  </xdr:twoCellAnchor>
  <xdr:twoCellAnchor editAs="oneCell">
    <xdr:from>
      <xdr:col>12</xdr:col>
      <xdr:colOff>73069</xdr:colOff>
      <xdr:row>5</xdr:row>
      <xdr:rowOff>365342</xdr:rowOff>
    </xdr:from>
    <xdr:to>
      <xdr:col>12</xdr:col>
      <xdr:colOff>2507293</xdr:colOff>
      <xdr:row>5</xdr:row>
      <xdr:rowOff>2578273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613126-CCD9-9E14-872D-0EA84E0BC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75507" y="4144027"/>
          <a:ext cx="2434224" cy="221293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Q417"/>
  <sheetViews>
    <sheetView showGridLines="0" tabSelected="1" zoomScale="73" zoomScaleNormal="55" workbookViewId="0">
      <selection activeCell="D7" sqref="D7"/>
    </sheetView>
  </sheetViews>
  <sheetFormatPr defaultColWidth="11" defaultRowHeight="13.15"/>
  <cols>
    <col min="1" max="1" width="3.125" style="5" customWidth="1"/>
    <col min="2" max="2" width="22" style="5" customWidth="1"/>
    <col min="3" max="3" width="36.5" style="5" customWidth="1"/>
    <col min="4" max="4" width="26.25" style="5" customWidth="1"/>
    <col min="5" max="5" width="33.5" style="5" customWidth="1"/>
    <col min="6" max="8" width="11.625" style="5" customWidth="1"/>
    <col min="9" max="9" width="20.75" style="5" customWidth="1"/>
    <col min="10" max="10" width="8.875" style="5" customWidth="1"/>
    <col min="11" max="11" width="10" style="5" customWidth="1"/>
    <col min="12" max="12" width="11.875" style="5" customWidth="1"/>
    <col min="13" max="13" width="33.125" style="5" customWidth="1"/>
    <col min="14" max="14" width="27.75" style="5" customWidth="1"/>
    <col min="15" max="15" width="30.75" style="5" customWidth="1"/>
    <col min="16" max="18" width="11.875" style="5" customWidth="1"/>
    <col min="19" max="21" width="12.875" style="5" customWidth="1"/>
    <col min="22" max="22" width="3.125" style="5" customWidth="1"/>
    <col min="23" max="16384" width="11" style="5"/>
  </cols>
  <sheetData>
    <row r="1" spans="1:43" ht="45" customHeight="1" thickBot="1">
      <c r="A1" s="4"/>
      <c r="B1" s="35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8"/>
      <c r="R1" s="8"/>
      <c r="S1" s="8"/>
      <c r="T1" s="8"/>
      <c r="U1" s="8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s="10" customFormat="1" ht="35.1" customHeight="1">
      <c r="A2" s="9"/>
      <c r="B2" s="41" t="s">
        <v>1</v>
      </c>
      <c r="C2" s="41"/>
      <c r="D2" s="41"/>
      <c r="E2" s="41"/>
      <c r="F2" s="41"/>
      <c r="G2" s="56"/>
      <c r="H2" s="110" t="s">
        <v>2</v>
      </c>
      <c r="I2" s="111"/>
      <c r="J2" s="111"/>
      <c r="K2" s="111"/>
      <c r="L2" s="112"/>
      <c r="M2" s="102" t="s">
        <v>3</v>
      </c>
      <c r="N2" s="103"/>
      <c r="O2" s="103"/>
      <c r="P2" s="104" t="s">
        <v>4</v>
      </c>
      <c r="Q2" s="105"/>
      <c r="R2" s="106"/>
      <c r="S2" s="107" t="s">
        <v>5</v>
      </c>
      <c r="T2" s="105"/>
      <c r="U2" s="108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</row>
    <row r="3" spans="1:43" s="10" customFormat="1" ht="35.1" customHeight="1">
      <c r="A3" s="9"/>
      <c r="B3" s="36" t="s">
        <v>6</v>
      </c>
      <c r="C3" s="36" t="s">
        <v>7</v>
      </c>
      <c r="D3" s="36" t="s">
        <v>8</v>
      </c>
      <c r="E3" s="19" t="s">
        <v>9</v>
      </c>
      <c r="F3" s="19" t="s">
        <v>10</v>
      </c>
      <c r="G3" s="83" t="s">
        <v>11</v>
      </c>
      <c r="H3" s="84" t="s">
        <v>12</v>
      </c>
      <c r="I3" s="88" t="s">
        <v>13</v>
      </c>
      <c r="J3" s="88" t="s">
        <v>14</v>
      </c>
      <c r="K3" s="89" t="s">
        <v>15</v>
      </c>
      <c r="L3" s="89" t="s">
        <v>16</v>
      </c>
      <c r="M3" s="90" t="s">
        <v>17</v>
      </c>
      <c r="N3" s="85" t="s">
        <v>18</v>
      </c>
      <c r="O3" s="19" t="s">
        <v>19</v>
      </c>
      <c r="P3" s="19" t="s">
        <v>20</v>
      </c>
      <c r="Q3" s="19" t="s">
        <v>21</v>
      </c>
      <c r="R3" s="47" t="s">
        <v>22</v>
      </c>
      <c r="S3" s="54" t="s">
        <v>23</v>
      </c>
      <c r="T3" s="53" t="s">
        <v>24</v>
      </c>
      <c r="U3" s="51" t="s">
        <v>25</v>
      </c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</row>
    <row r="4" spans="1:43" s="10" customFormat="1" ht="30" customHeight="1">
      <c r="A4" s="9"/>
      <c r="B4" s="37" t="s">
        <v>26</v>
      </c>
      <c r="C4" s="37"/>
      <c r="D4" s="37"/>
      <c r="E4" s="59"/>
      <c r="F4" s="59"/>
      <c r="G4" s="60"/>
      <c r="H4" s="82"/>
      <c r="I4" s="91"/>
      <c r="J4" s="86"/>
      <c r="K4" s="87"/>
      <c r="L4" s="87"/>
      <c r="M4" s="87"/>
      <c r="N4" s="62"/>
      <c r="O4" s="62"/>
      <c r="P4" s="62"/>
      <c r="Q4" s="62"/>
      <c r="R4" s="63"/>
      <c r="S4" s="64"/>
      <c r="T4" s="65"/>
      <c r="U4" s="65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</row>
    <row r="5" spans="1:43" s="10" customFormat="1" ht="153" customHeight="1">
      <c r="A5" s="9"/>
      <c r="B5" s="38" t="s">
        <v>27</v>
      </c>
      <c r="C5" s="38" t="s">
        <v>28</v>
      </c>
      <c r="D5" s="16" t="s">
        <v>29</v>
      </c>
      <c r="E5" s="43">
        <v>46055</v>
      </c>
      <c r="F5" s="43">
        <v>46060</v>
      </c>
      <c r="G5" s="66">
        <v>46090</v>
      </c>
      <c r="H5" s="95">
        <v>4</v>
      </c>
      <c r="I5" s="96">
        <v>100</v>
      </c>
      <c r="J5" s="67">
        <f>H5*I5</f>
        <v>400</v>
      </c>
      <c r="K5" s="45">
        <v>4500</v>
      </c>
      <c r="L5" s="68">
        <f>J5*K5</f>
        <v>1800000</v>
      </c>
      <c r="M5" s="44">
        <v>4</v>
      </c>
      <c r="N5" s="45">
        <v>789657</v>
      </c>
      <c r="O5" s="76">
        <f>M5*N5</f>
        <v>3158628</v>
      </c>
      <c r="P5" s="46">
        <v>0</v>
      </c>
      <c r="Q5" s="46">
        <v>0</v>
      </c>
      <c r="R5" s="69">
        <v>0</v>
      </c>
      <c r="S5" s="70">
        <v>5000000</v>
      </c>
      <c r="T5" s="71">
        <f>L5+O5+P5+Q5+R5</f>
        <v>4958628</v>
      </c>
      <c r="U5" s="72">
        <f>T5-S5</f>
        <v>-41372</v>
      </c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spans="1:43" s="10" customFormat="1" ht="235.15" customHeight="1">
      <c r="A6" s="9"/>
      <c r="B6" s="38" t="s">
        <v>30</v>
      </c>
      <c r="C6" s="38" t="s">
        <v>31</v>
      </c>
      <c r="D6" s="16" t="s">
        <v>32</v>
      </c>
      <c r="E6" s="43">
        <f>G5+1</f>
        <v>46091</v>
      </c>
      <c r="F6" s="43">
        <v>46095</v>
      </c>
      <c r="G6" s="94">
        <v>46102</v>
      </c>
      <c r="H6" s="97">
        <v>1</v>
      </c>
      <c r="I6" s="93">
        <v>25</v>
      </c>
      <c r="J6" s="67">
        <f t="shared" ref="J6:J13" si="0">H6*I6</f>
        <v>25</v>
      </c>
      <c r="K6" s="45">
        <v>4500</v>
      </c>
      <c r="L6" s="68">
        <f t="shared" ref="L6:L13" si="1">J6*K6</f>
        <v>112500</v>
      </c>
      <c r="M6" s="77">
        <v>1</v>
      </c>
      <c r="N6" s="45">
        <v>60500</v>
      </c>
      <c r="O6" s="68">
        <f t="shared" ref="O6:O13" si="2">M6*N6</f>
        <v>60500</v>
      </c>
      <c r="P6" s="46">
        <v>0</v>
      </c>
      <c r="Q6" s="46">
        <v>0</v>
      </c>
      <c r="R6" s="69">
        <v>0</v>
      </c>
      <c r="S6" s="70">
        <v>200000</v>
      </c>
      <c r="T6" s="71">
        <f t="shared" ref="T6:T13" si="3">L6+O6+P6+Q6+R6</f>
        <v>173000</v>
      </c>
      <c r="U6" s="72">
        <f t="shared" ref="U5:U13" si="4">T6-S6</f>
        <v>-27000</v>
      </c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spans="1:43" s="10" customFormat="1" ht="142.9" customHeight="1">
      <c r="A7" s="9"/>
      <c r="B7" s="38" t="s">
        <v>33</v>
      </c>
      <c r="C7" s="38" t="s">
        <v>34</v>
      </c>
      <c r="D7" s="16" t="s">
        <v>32</v>
      </c>
      <c r="E7" s="43">
        <f>G6+1</f>
        <v>46103</v>
      </c>
      <c r="F7" s="43">
        <v>46104</v>
      </c>
      <c r="G7" s="94">
        <v>46116</v>
      </c>
      <c r="H7" s="99">
        <v>4</v>
      </c>
      <c r="I7" s="92">
        <v>50</v>
      </c>
      <c r="J7" s="67">
        <f t="shared" si="0"/>
        <v>200</v>
      </c>
      <c r="K7" s="45">
        <v>5000</v>
      </c>
      <c r="L7" s="68">
        <f t="shared" si="1"/>
        <v>1000000</v>
      </c>
      <c r="M7" s="44">
        <v>0</v>
      </c>
      <c r="N7" s="45">
        <v>0</v>
      </c>
      <c r="O7" s="68">
        <f t="shared" si="2"/>
        <v>0</v>
      </c>
      <c r="P7" s="46">
        <v>0</v>
      </c>
      <c r="Q7" s="46">
        <v>0</v>
      </c>
      <c r="R7" s="69">
        <v>0</v>
      </c>
      <c r="S7" s="70">
        <v>1200000</v>
      </c>
      <c r="T7" s="71">
        <f t="shared" si="3"/>
        <v>1000000</v>
      </c>
      <c r="U7" s="72">
        <f t="shared" si="4"/>
        <v>-200000</v>
      </c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spans="1:43" s="10" customFormat="1" ht="101.45" customHeight="1">
      <c r="A8" s="9"/>
      <c r="B8" s="38" t="s">
        <v>35</v>
      </c>
      <c r="C8" s="38" t="s">
        <v>36</v>
      </c>
      <c r="D8" s="16" t="s">
        <v>37</v>
      </c>
      <c r="E8" s="43">
        <f t="shared" ref="E8:E13" si="5">G7+1</f>
        <v>46117</v>
      </c>
      <c r="F8" s="43">
        <v>46117</v>
      </c>
      <c r="G8" s="94">
        <v>46139</v>
      </c>
      <c r="H8" s="100">
        <v>1</v>
      </c>
      <c r="I8" s="67">
        <v>75</v>
      </c>
      <c r="J8" s="67">
        <f>H8*I8</f>
        <v>75</v>
      </c>
      <c r="K8" s="45">
        <v>5000</v>
      </c>
      <c r="L8" s="68">
        <f t="shared" si="1"/>
        <v>375000</v>
      </c>
      <c r="M8" s="44">
        <v>0</v>
      </c>
      <c r="N8" s="45">
        <v>0</v>
      </c>
      <c r="O8" s="68">
        <f t="shared" si="2"/>
        <v>0</v>
      </c>
      <c r="P8" s="46">
        <v>0</v>
      </c>
      <c r="Q8" s="46">
        <v>0</v>
      </c>
      <c r="R8" s="69">
        <v>0</v>
      </c>
      <c r="S8" s="70">
        <v>500000</v>
      </c>
      <c r="T8" s="71">
        <f>L8+O8+P8+Q8+R8</f>
        <v>375000</v>
      </c>
      <c r="U8" s="72">
        <f t="shared" si="4"/>
        <v>-125000</v>
      </c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</row>
    <row r="9" spans="1:43" s="10" customFormat="1" ht="66" customHeight="1">
      <c r="A9" s="9"/>
      <c r="B9" s="38" t="s">
        <v>38</v>
      </c>
      <c r="C9" s="38" t="s">
        <v>39</v>
      </c>
      <c r="D9" s="16" t="s">
        <v>37</v>
      </c>
      <c r="E9" s="43">
        <f t="shared" si="5"/>
        <v>46140</v>
      </c>
      <c r="F9" s="43">
        <v>46140</v>
      </c>
      <c r="G9" s="94">
        <v>46147</v>
      </c>
      <c r="H9" s="100">
        <v>4</v>
      </c>
      <c r="I9" s="67">
        <v>50</v>
      </c>
      <c r="J9" s="67">
        <f t="shared" si="0"/>
        <v>200</v>
      </c>
      <c r="K9" s="45">
        <v>5000</v>
      </c>
      <c r="L9" s="68">
        <f t="shared" si="1"/>
        <v>1000000</v>
      </c>
      <c r="M9" s="44">
        <v>0</v>
      </c>
      <c r="N9" s="45">
        <v>0</v>
      </c>
      <c r="O9" s="68">
        <f t="shared" si="2"/>
        <v>0</v>
      </c>
      <c r="P9" s="46">
        <v>0</v>
      </c>
      <c r="Q9" s="46">
        <v>0</v>
      </c>
      <c r="R9" s="69">
        <v>0</v>
      </c>
      <c r="S9" s="70">
        <v>1250000</v>
      </c>
      <c r="T9" s="71">
        <f t="shared" si="3"/>
        <v>1000000</v>
      </c>
      <c r="U9" s="72">
        <f t="shared" si="4"/>
        <v>-250000</v>
      </c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</row>
    <row r="10" spans="1:43" s="10" customFormat="1" ht="30" customHeight="1">
      <c r="A10" s="9"/>
      <c r="B10" s="38" t="s">
        <v>40</v>
      </c>
      <c r="C10" s="38"/>
      <c r="D10" s="16" t="s">
        <v>37</v>
      </c>
      <c r="E10" s="43">
        <f>G9+1</f>
        <v>46148</v>
      </c>
      <c r="F10" s="43">
        <v>46153</v>
      </c>
      <c r="G10" s="94">
        <v>46174</v>
      </c>
      <c r="H10" s="100">
        <v>4</v>
      </c>
      <c r="I10" s="67">
        <v>75</v>
      </c>
      <c r="J10" s="67">
        <f t="shared" si="0"/>
        <v>300</v>
      </c>
      <c r="K10" s="45">
        <v>5000</v>
      </c>
      <c r="L10" s="68">
        <f t="shared" si="1"/>
        <v>1500000</v>
      </c>
      <c r="M10" s="44">
        <v>0</v>
      </c>
      <c r="N10" s="45">
        <v>0</v>
      </c>
      <c r="O10" s="68">
        <f t="shared" si="2"/>
        <v>0</v>
      </c>
      <c r="P10" s="46">
        <v>0</v>
      </c>
      <c r="Q10" s="46">
        <v>0</v>
      </c>
      <c r="R10" s="69">
        <v>0</v>
      </c>
      <c r="S10" s="70">
        <v>1250000</v>
      </c>
      <c r="T10" s="71">
        <f t="shared" si="3"/>
        <v>1500000</v>
      </c>
      <c r="U10" s="72">
        <f t="shared" si="4"/>
        <v>250000</v>
      </c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</row>
    <row r="11" spans="1:43" s="10" customFormat="1" ht="30" customHeight="1">
      <c r="A11" s="9"/>
      <c r="B11" s="38" t="s">
        <v>41</v>
      </c>
      <c r="C11" s="38"/>
      <c r="D11" s="16" t="s">
        <v>37</v>
      </c>
      <c r="E11" s="43">
        <f t="shared" si="5"/>
        <v>46175</v>
      </c>
      <c r="F11" s="43"/>
      <c r="G11" s="94"/>
      <c r="H11" s="100">
        <v>4</v>
      </c>
      <c r="I11" s="67"/>
      <c r="J11" s="67">
        <f t="shared" si="0"/>
        <v>0</v>
      </c>
      <c r="K11" s="45"/>
      <c r="L11" s="68">
        <f t="shared" si="1"/>
        <v>0</v>
      </c>
      <c r="M11" s="44"/>
      <c r="N11" s="45"/>
      <c r="O11" s="68">
        <f t="shared" si="2"/>
        <v>0</v>
      </c>
      <c r="P11" s="46"/>
      <c r="Q11" s="46"/>
      <c r="R11" s="69"/>
      <c r="S11" s="70"/>
      <c r="T11" s="71">
        <f t="shared" si="3"/>
        <v>0</v>
      </c>
      <c r="U11" s="72">
        <f t="shared" si="4"/>
        <v>0</v>
      </c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spans="1:43" s="10" customFormat="1" ht="30" customHeight="1">
      <c r="A12" s="9"/>
      <c r="B12" s="38" t="s">
        <v>41</v>
      </c>
      <c r="C12" s="38"/>
      <c r="D12" s="16" t="s">
        <v>37</v>
      </c>
      <c r="E12" s="43">
        <f t="shared" si="5"/>
        <v>1</v>
      </c>
      <c r="F12" s="43"/>
      <c r="G12" s="94"/>
      <c r="H12" s="100">
        <v>4</v>
      </c>
      <c r="I12" s="67"/>
      <c r="J12" s="67">
        <f t="shared" si="0"/>
        <v>0</v>
      </c>
      <c r="K12" s="45"/>
      <c r="L12" s="68">
        <f t="shared" si="1"/>
        <v>0</v>
      </c>
      <c r="M12" s="44"/>
      <c r="N12" s="45"/>
      <c r="O12" s="68">
        <f t="shared" si="2"/>
        <v>0</v>
      </c>
      <c r="P12" s="46"/>
      <c r="Q12" s="46"/>
      <c r="R12" s="69"/>
      <c r="S12" s="70"/>
      <c r="T12" s="71">
        <f t="shared" si="3"/>
        <v>0</v>
      </c>
      <c r="U12" s="72">
        <f t="shared" si="4"/>
        <v>0</v>
      </c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</row>
    <row r="13" spans="1:43" s="10" customFormat="1" ht="30" customHeight="1">
      <c r="A13" s="9"/>
      <c r="B13" s="38" t="s">
        <v>41</v>
      </c>
      <c r="C13" s="38"/>
      <c r="D13" s="16" t="s">
        <v>37</v>
      </c>
      <c r="E13" s="43">
        <f t="shared" si="5"/>
        <v>1</v>
      </c>
      <c r="F13" s="43"/>
      <c r="G13" s="94"/>
      <c r="H13" s="101">
        <v>4</v>
      </c>
      <c r="I13" s="67"/>
      <c r="J13" s="67">
        <f t="shared" si="0"/>
        <v>0</v>
      </c>
      <c r="K13" s="45"/>
      <c r="L13" s="68">
        <f t="shared" si="1"/>
        <v>0</v>
      </c>
      <c r="M13" s="44"/>
      <c r="N13" s="45"/>
      <c r="O13" s="68">
        <f t="shared" si="2"/>
        <v>0</v>
      </c>
      <c r="P13" s="46"/>
      <c r="Q13" s="46"/>
      <c r="R13" s="69"/>
      <c r="S13" s="70"/>
      <c r="T13" s="71">
        <f t="shared" si="3"/>
        <v>0</v>
      </c>
      <c r="U13" s="72">
        <f t="shared" si="4"/>
        <v>0</v>
      </c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</row>
    <row r="14" spans="1:43" s="10" customFormat="1" ht="30" customHeight="1">
      <c r="A14" s="9"/>
      <c r="B14" s="21" t="s">
        <v>42</v>
      </c>
      <c r="C14" s="21"/>
      <c r="D14" s="39"/>
      <c r="E14" s="22"/>
      <c r="F14" s="22"/>
      <c r="G14" s="58"/>
      <c r="H14" s="98"/>
      <c r="I14" s="50"/>
      <c r="J14" s="50"/>
      <c r="K14" s="40"/>
      <c r="L14" s="42">
        <f t="shared" ref="L14" si="6">SUM(L5:L13)</f>
        <v>5787500</v>
      </c>
      <c r="M14" s="42"/>
      <c r="N14" s="42"/>
      <c r="O14" s="42">
        <f>SUM(O5:O13)</f>
        <v>3219128</v>
      </c>
      <c r="P14" s="42">
        <f>SUM(P5:P13)</f>
        <v>0</v>
      </c>
      <c r="Q14" s="42">
        <f>SUM(Q5:Q13)</f>
        <v>0</v>
      </c>
      <c r="R14" s="48">
        <f>SUM(R5:R13)</f>
        <v>0</v>
      </c>
      <c r="S14" s="55">
        <f>SUM(S5:S13)</f>
        <v>9400000</v>
      </c>
      <c r="T14" s="52">
        <f>SUM(L14:R14)</f>
        <v>9006628</v>
      </c>
      <c r="U14" s="52">
        <f>T14-S14</f>
        <v>-393372</v>
      </c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</row>
    <row r="15" spans="1:43" s="10" customFormat="1" ht="11.1" customHeight="1" thickBot="1">
      <c r="A15" s="9"/>
      <c r="B15" s="11"/>
      <c r="C15" s="11"/>
      <c r="D15" s="11"/>
      <c r="E15" s="11"/>
      <c r="F15" s="11"/>
      <c r="G15" s="11"/>
      <c r="H15" s="11"/>
      <c r="I15" s="12"/>
      <c r="J15" s="12"/>
      <c r="K15" s="13"/>
      <c r="L15" s="13"/>
      <c r="M15" s="12"/>
      <c r="N15" s="13"/>
      <c r="O15" s="13"/>
      <c r="P15" s="12"/>
      <c r="Q15" s="12"/>
      <c r="R15" s="13"/>
      <c r="S15" s="14"/>
      <c r="T15" s="13"/>
      <c r="U15" s="15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</row>
    <row r="16" spans="1:43" s="10" customFormat="1" ht="35.1" customHeight="1">
      <c r="A16" s="9"/>
      <c r="B16" s="41" t="s">
        <v>1</v>
      </c>
      <c r="C16" s="41"/>
      <c r="D16" s="41"/>
      <c r="E16" s="41"/>
      <c r="F16" s="41"/>
      <c r="G16" s="56"/>
      <c r="H16" s="41"/>
      <c r="I16" s="109" t="s">
        <v>2</v>
      </c>
      <c r="J16" s="109"/>
      <c r="K16" s="103"/>
      <c r="L16" s="103"/>
      <c r="M16" s="103" t="s">
        <v>3</v>
      </c>
      <c r="N16" s="103"/>
      <c r="O16" s="103"/>
      <c r="P16" s="104" t="s">
        <v>4</v>
      </c>
      <c r="Q16" s="105"/>
      <c r="R16" s="106"/>
      <c r="S16" s="107" t="s">
        <v>5</v>
      </c>
      <c r="T16" s="105"/>
      <c r="U16" s="108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</row>
    <row r="17" spans="1:43" s="10" customFormat="1" ht="35.1" customHeight="1">
      <c r="A17" s="9"/>
      <c r="B17" s="36" t="s">
        <v>6</v>
      </c>
      <c r="C17" s="36" t="s">
        <v>7</v>
      </c>
      <c r="D17" s="36" t="s">
        <v>8</v>
      </c>
      <c r="E17" s="19" t="s">
        <v>9</v>
      </c>
      <c r="F17" s="19" t="s">
        <v>10</v>
      </c>
      <c r="G17" s="57" t="s">
        <v>11</v>
      </c>
      <c r="H17" s="78"/>
      <c r="I17" s="49" t="s">
        <v>43</v>
      </c>
      <c r="J17" s="49"/>
      <c r="K17" s="20" t="s">
        <v>15</v>
      </c>
      <c r="L17" s="20" t="s">
        <v>16</v>
      </c>
      <c r="M17" s="19" t="s">
        <v>17</v>
      </c>
      <c r="N17" s="19" t="s">
        <v>18</v>
      </c>
      <c r="O17" s="19" t="s">
        <v>19</v>
      </c>
      <c r="P17" s="19" t="s">
        <v>20</v>
      </c>
      <c r="Q17" s="19" t="s">
        <v>21</v>
      </c>
      <c r="R17" s="47" t="s">
        <v>22</v>
      </c>
      <c r="S17" s="54" t="s">
        <v>23</v>
      </c>
      <c r="T17" s="53" t="s">
        <v>24</v>
      </c>
      <c r="U17" s="51" t="s">
        <v>25</v>
      </c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</row>
    <row r="18" spans="1:43" s="10" customFormat="1" ht="30" customHeight="1">
      <c r="A18" s="9"/>
      <c r="B18" s="37" t="s">
        <v>44</v>
      </c>
      <c r="C18" s="37"/>
      <c r="D18" s="37"/>
      <c r="E18" s="59"/>
      <c r="F18" s="59"/>
      <c r="G18" s="60"/>
      <c r="H18" s="79"/>
      <c r="I18" s="61"/>
      <c r="J18" s="61"/>
      <c r="K18" s="62"/>
      <c r="L18" s="62"/>
      <c r="M18" s="62"/>
      <c r="N18" s="62"/>
      <c r="O18" s="62"/>
      <c r="P18" s="62"/>
      <c r="Q18" s="62"/>
      <c r="R18" s="63"/>
      <c r="S18" s="64"/>
      <c r="T18" s="65"/>
      <c r="U18" s="65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</row>
    <row r="19" spans="1:43" s="10" customFormat="1" ht="30" customHeight="1">
      <c r="A19" s="9"/>
      <c r="B19" s="38" t="s">
        <v>41</v>
      </c>
      <c r="C19" s="38"/>
      <c r="D19" s="16" t="s">
        <v>37</v>
      </c>
      <c r="E19" s="43"/>
      <c r="F19" s="43"/>
      <c r="G19" s="66"/>
      <c r="H19" s="80"/>
      <c r="I19" s="67"/>
      <c r="J19" s="67"/>
      <c r="K19" s="45"/>
      <c r="L19" s="68">
        <f>I19*K19</f>
        <v>0</v>
      </c>
      <c r="M19" s="44"/>
      <c r="N19" s="45"/>
      <c r="O19" s="68">
        <f>M19*N19</f>
        <v>0</v>
      </c>
      <c r="P19" s="46"/>
      <c r="Q19" s="46"/>
      <c r="R19" s="69"/>
      <c r="S19" s="70"/>
      <c r="T19" s="71">
        <f>L19+O19+P19+Q19+R19</f>
        <v>0</v>
      </c>
      <c r="U19" s="72">
        <f t="shared" ref="U19:U27" si="7">T19-S19</f>
        <v>0</v>
      </c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</row>
    <row r="20" spans="1:43" s="10" customFormat="1" ht="30" customHeight="1">
      <c r="A20" s="9"/>
      <c r="B20" s="38" t="s">
        <v>41</v>
      </c>
      <c r="C20" s="38"/>
      <c r="D20" s="16" t="s">
        <v>37</v>
      </c>
      <c r="E20" s="43"/>
      <c r="F20" s="43"/>
      <c r="G20" s="66"/>
      <c r="H20" s="80"/>
      <c r="I20" s="67"/>
      <c r="J20" s="67"/>
      <c r="K20" s="45"/>
      <c r="L20" s="68">
        <f t="shared" ref="L20:L27" si="8">I20*K20</f>
        <v>0</v>
      </c>
      <c r="M20" s="44"/>
      <c r="N20" s="45"/>
      <c r="O20" s="68">
        <f t="shared" ref="O20:O27" si="9">M20*N20</f>
        <v>0</v>
      </c>
      <c r="P20" s="46"/>
      <c r="Q20" s="46"/>
      <c r="R20" s="69"/>
      <c r="S20" s="70"/>
      <c r="T20" s="71">
        <f t="shared" ref="T20:T27" si="10">L20+O20+P20+Q20+R20</f>
        <v>0</v>
      </c>
      <c r="U20" s="72">
        <f t="shared" si="7"/>
        <v>0</v>
      </c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</row>
    <row r="21" spans="1:43" s="10" customFormat="1" ht="30" customHeight="1">
      <c r="A21" s="9"/>
      <c r="B21" s="38" t="s">
        <v>41</v>
      </c>
      <c r="C21" s="38"/>
      <c r="D21" s="16" t="s">
        <v>37</v>
      </c>
      <c r="E21" s="43"/>
      <c r="F21" s="43"/>
      <c r="G21" s="66"/>
      <c r="H21" s="80"/>
      <c r="I21" s="67"/>
      <c r="J21" s="67"/>
      <c r="K21" s="45"/>
      <c r="L21" s="68">
        <f t="shared" si="8"/>
        <v>0</v>
      </c>
      <c r="M21" s="44"/>
      <c r="N21" s="45"/>
      <c r="O21" s="68">
        <f t="shared" si="9"/>
        <v>0</v>
      </c>
      <c r="P21" s="46"/>
      <c r="Q21" s="46"/>
      <c r="R21" s="69"/>
      <c r="S21" s="70"/>
      <c r="T21" s="71">
        <f t="shared" si="10"/>
        <v>0</v>
      </c>
      <c r="U21" s="72">
        <f t="shared" si="7"/>
        <v>0</v>
      </c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</row>
    <row r="22" spans="1:43" s="10" customFormat="1" ht="30" customHeight="1">
      <c r="A22" s="9"/>
      <c r="B22" s="38" t="s">
        <v>41</v>
      </c>
      <c r="C22" s="38"/>
      <c r="D22" s="16" t="s">
        <v>37</v>
      </c>
      <c r="E22" s="43"/>
      <c r="F22" s="43"/>
      <c r="G22" s="66"/>
      <c r="H22" s="80"/>
      <c r="I22" s="67"/>
      <c r="J22" s="67"/>
      <c r="K22" s="45"/>
      <c r="L22" s="68">
        <f t="shared" si="8"/>
        <v>0</v>
      </c>
      <c r="M22" s="44"/>
      <c r="N22" s="45"/>
      <c r="O22" s="68">
        <f t="shared" si="9"/>
        <v>0</v>
      </c>
      <c r="P22" s="46"/>
      <c r="Q22" s="46"/>
      <c r="R22" s="69"/>
      <c r="S22" s="70"/>
      <c r="T22" s="71">
        <f t="shared" si="10"/>
        <v>0</v>
      </c>
      <c r="U22" s="72">
        <f t="shared" si="7"/>
        <v>0</v>
      </c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</row>
    <row r="23" spans="1:43" s="10" customFormat="1" ht="30" customHeight="1">
      <c r="A23" s="9"/>
      <c r="B23" s="38" t="s">
        <v>41</v>
      </c>
      <c r="C23" s="38"/>
      <c r="D23" s="16" t="s">
        <v>37</v>
      </c>
      <c r="E23" s="43"/>
      <c r="F23" s="43"/>
      <c r="G23" s="66"/>
      <c r="H23" s="80"/>
      <c r="I23" s="67"/>
      <c r="J23" s="67"/>
      <c r="K23" s="45"/>
      <c r="L23" s="68">
        <f t="shared" si="8"/>
        <v>0</v>
      </c>
      <c r="M23" s="44"/>
      <c r="N23" s="45"/>
      <c r="O23" s="68">
        <f t="shared" si="9"/>
        <v>0</v>
      </c>
      <c r="P23" s="46"/>
      <c r="Q23" s="46"/>
      <c r="R23" s="69"/>
      <c r="S23" s="70"/>
      <c r="T23" s="71">
        <f t="shared" si="10"/>
        <v>0</v>
      </c>
      <c r="U23" s="72">
        <f t="shared" si="7"/>
        <v>0</v>
      </c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</row>
    <row r="24" spans="1:43" s="10" customFormat="1" ht="30" customHeight="1">
      <c r="A24" s="9"/>
      <c r="B24" s="38" t="s">
        <v>41</v>
      </c>
      <c r="C24" s="38"/>
      <c r="D24" s="16" t="s">
        <v>37</v>
      </c>
      <c r="E24" s="43"/>
      <c r="F24" s="43"/>
      <c r="G24" s="66"/>
      <c r="H24" s="80"/>
      <c r="I24" s="67"/>
      <c r="J24" s="67"/>
      <c r="K24" s="45"/>
      <c r="L24" s="68">
        <f t="shared" si="8"/>
        <v>0</v>
      </c>
      <c r="M24" s="44"/>
      <c r="N24" s="45"/>
      <c r="O24" s="68">
        <f t="shared" si="9"/>
        <v>0</v>
      </c>
      <c r="P24" s="46"/>
      <c r="Q24" s="46"/>
      <c r="R24" s="69"/>
      <c r="S24" s="70"/>
      <c r="T24" s="71">
        <f t="shared" si="10"/>
        <v>0</v>
      </c>
      <c r="U24" s="72">
        <f t="shared" si="7"/>
        <v>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</row>
    <row r="25" spans="1:43" s="10" customFormat="1" ht="30" customHeight="1">
      <c r="A25" s="9"/>
      <c r="B25" s="38" t="s">
        <v>41</v>
      </c>
      <c r="C25" s="38"/>
      <c r="D25" s="16" t="s">
        <v>37</v>
      </c>
      <c r="E25" s="43"/>
      <c r="F25" s="43"/>
      <c r="G25" s="66"/>
      <c r="H25" s="80"/>
      <c r="I25" s="67"/>
      <c r="J25" s="67"/>
      <c r="K25" s="45"/>
      <c r="L25" s="68">
        <f t="shared" si="8"/>
        <v>0</v>
      </c>
      <c r="M25" s="44"/>
      <c r="N25" s="45"/>
      <c r="O25" s="68">
        <f t="shared" si="9"/>
        <v>0</v>
      </c>
      <c r="P25" s="46"/>
      <c r="Q25" s="46"/>
      <c r="R25" s="69"/>
      <c r="S25" s="70"/>
      <c r="T25" s="71">
        <f t="shared" si="10"/>
        <v>0</v>
      </c>
      <c r="U25" s="72">
        <f t="shared" si="7"/>
        <v>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</row>
    <row r="26" spans="1:43" s="10" customFormat="1" ht="30" customHeight="1">
      <c r="A26" s="9"/>
      <c r="B26" s="38" t="s">
        <v>41</v>
      </c>
      <c r="C26" s="38"/>
      <c r="D26" s="16" t="s">
        <v>37</v>
      </c>
      <c r="E26" s="43"/>
      <c r="F26" s="43"/>
      <c r="G26" s="66"/>
      <c r="H26" s="80"/>
      <c r="I26" s="67"/>
      <c r="J26" s="67"/>
      <c r="K26" s="45"/>
      <c r="L26" s="68">
        <f t="shared" si="8"/>
        <v>0</v>
      </c>
      <c r="M26" s="44"/>
      <c r="N26" s="45"/>
      <c r="O26" s="68">
        <f t="shared" si="9"/>
        <v>0</v>
      </c>
      <c r="P26" s="46"/>
      <c r="Q26" s="46"/>
      <c r="R26" s="69"/>
      <c r="S26" s="70"/>
      <c r="T26" s="71">
        <f t="shared" si="10"/>
        <v>0</v>
      </c>
      <c r="U26" s="72">
        <f t="shared" si="7"/>
        <v>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</row>
    <row r="27" spans="1:43" s="10" customFormat="1" ht="30" customHeight="1">
      <c r="A27" s="9"/>
      <c r="B27" s="38" t="s">
        <v>41</v>
      </c>
      <c r="C27" s="38"/>
      <c r="D27" s="16" t="s">
        <v>37</v>
      </c>
      <c r="E27" s="43"/>
      <c r="F27" s="43"/>
      <c r="G27" s="66"/>
      <c r="H27" s="80"/>
      <c r="I27" s="67"/>
      <c r="J27" s="67"/>
      <c r="K27" s="45"/>
      <c r="L27" s="68">
        <f t="shared" si="8"/>
        <v>0</v>
      </c>
      <c r="M27" s="44"/>
      <c r="N27" s="45"/>
      <c r="O27" s="68">
        <f t="shared" si="9"/>
        <v>0</v>
      </c>
      <c r="P27" s="46"/>
      <c r="Q27" s="46"/>
      <c r="R27" s="69"/>
      <c r="S27" s="70"/>
      <c r="T27" s="71">
        <f t="shared" si="10"/>
        <v>0</v>
      </c>
      <c r="U27" s="72">
        <f t="shared" si="7"/>
        <v>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</row>
    <row r="28" spans="1:43" s="10" customFormat="1" ht="30" customHeight="1">
      <c r="A28" s="9"/>
      <c r="B28" s="21" t="s">
        <v>42</v>
      </c>
      <c r="C28" s="21"/>
      <c r="D28" s="39"/>
      <c r="E28" s="22"/>
      <c r="F28" s="22"/>
      <c r="G28" s="58"/>
      <c r="H28" s="81"/>
      <c r="I28" s="50"/>
      <c r="J28" s="50"/>
      <c r="K28" s="40"/>
      <c r="L28" s="42">
        <f t="shared" ref="L28" si="11">SUM(L19:L27)</f>
        <v>0</v>
      </c>
      <c r="M28" s="42"/>
      <c r="N28" s="42"/>
      <c r="O28" s="42">
        <f>SUM(O19:O27)</f>
        <v>0</v>
      </c>
      <c r="P28" s="42">
        <f>SUM(P19:P27)</f>
        <v>0</v>
      </c>
      <c r="Q28" s="42">
        <f>SUM(Q19:Q27)</f>
        <v>0</v>
      </c>
      <c r="R28" s="48">
        <f>SUM(R19:R27)</f>
        <v>0</v>
      </c>
      <c r="S28" s="55">
        <f>SUM(S19:S27)</f>
        <v>0</v>
      </c>
      <c r="T28" s="52">
        <f>SUM(L28:R28)</f>
        <v>0</v>
      </c>
      <c r="U28" s="52">
        <f>T28-S28</f>
        <v>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</row>
    <row r="29" spans="1:43" s="4" customFormat="1" ht="21" customHeight="1">
      <c r="B29" s="6"/>
      <c r="C29" s="6"/>
      <c r="D29" s="6"/>
      <c r="E29" s="6"/>
      <c r="F29" s="6"/>
      <c r="G29" s="6"/>
      <c r="H29" s="6"/>
      <c r="I29" s="1"/>
      <c r="J29" s="1"/>
      <c r="K29" s="2"/>
      <c r="L29" s="2"/>
      <c r="M29" s="1"/>
      <c r="N29" s="2"/>
      <c r="O29" s="2"/>
      <c r="P29" s="1"/>
      <c r="Q29" s="1"/>
      <c r="R29" s="2"/>
      <c r="S29" s="7"/>
      <c r="T29" s="2"/>
      <c r="U29" s="3"/>
    </row>
    <row r="30" spans="1:4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  <row r="63" spans="1:4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</row>
    <row r="64" spans="1:4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</row>
    <row r="65" spans="1:4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</row>
    <row r="66" spans="1:4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</row>
    <row r="67" spans="1:4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</row>
    <row r="68" spans="1:4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</row>
    <row r="69" spans="1:4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</row>
    <row r="70" spans="1:4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</row>
    <row r="71" spans="1:4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</row>
    <row r="72" spans="1:4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</row>
    <row r="73" spans="1:4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</row>
    <row r="74" spans="1:4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</row>
    <row r="75" spans="1:4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spans="1:4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spans="1:4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spans="1:4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spans="1:4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spans="1:4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1:2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spans="1:2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spans="1:2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1:2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1:2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1:2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2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2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2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2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2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2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2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2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2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1:2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1:2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1:2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1:2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1:2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1:2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1:2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1:2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1:2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1:2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1:2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1:2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1:2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1:2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1:2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1:2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1:2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1:2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1:2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1:2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1:2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1:2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1:2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1:2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1:2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1:2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1:2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1:2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1:2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1:2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1:2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1:2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1:2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1:2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1:2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1:2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1:2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1:2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1:2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1:2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1:2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1:2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1:2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1:2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1:2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1:2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1:2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1:2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1:2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1:2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1:2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1:2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1:2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1:2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1:2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1: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1:2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1:2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1:2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1:2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1:2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1:2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1:2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1:2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1:2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1:2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1:2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1:2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1:2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1:2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1:2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1:2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1:2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1:2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1:2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1:2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1:2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1:2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1:2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1:2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1:2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1:2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1:2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1:2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1:2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1:2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1:2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1:2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1:2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1:2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1:2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1:2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1:2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1:2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1:2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1:2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1:2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1:2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1:2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1:2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1:2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1:2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1:2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1:2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1:2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1:2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1:2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1:2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1:2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1:2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1:2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1:2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1:2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1:2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1:2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1:2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1:2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1:2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1:2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1:2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1:2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1:2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1:2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1:2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1:2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1:2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1:2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1:2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1:2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1:2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1:2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1:2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1:2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1:2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1:2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1:2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</sheetData>
  <mergeCells count="8">
    <mergeCell ref="M2:O2"/>
    <mergeCell ref="P2:R2"/>
    <mergeCell ref="S2:U2"/>
    <mergeCell ref="I16:L16"/>
    <mergeCell ref="M16:O16"/>
    <mergeCell ref="P16:R16"/>
    <mergeCell ref="S16:U16"/>
    <mergeCell ref="H2:L2"/>
  </mergeCells>
  <conditionalFormatting sqref="D4:D13">
    <cfRule type="containsText" dxfId="41" priority="24" operator="containsText" text="Approved">
      <formula>NOT(ISERROR(SEARCH("Approved",D4)))</formula>
    </cfRule>
    <cfRule type="containsText" dxfId="40" priority="25" operator="containsText" text="Needs Review">
      <formula>NOT(ISERROR(SEARCH("Needs Review",D4)))</formula>
    </cfRule>
    <cfRule type="containsText" dxfId="39" priority="26" operator="containsText" text="Not Started">
      <formula>NOT(ISERROR(SEARCH("Not Started",D4)))</formula>
    </cfRule>
    <cfRule type="containsText" dxfId="38" priority="27" operator="containsText" text="On Hold">
      <formula>NOT(ISERROR(SEARCH("On Hold",D4)))</formula>
    </cfRule>
    <cfRule type="containsText" dxfId="37" priority="28" operator="containsText" text="Overdue">
      <formula>NOT(ISERROR(SEARCH("Overdue",D4)))</formula>
    </cfRule>
    <cfRule type="containsText" dxfId="36" priority="29" operator="containsText" text="Complete">
      <formula>NOT(ISERROR(SEARCH("Complete",D4)))</formula>
    </cfRule>
    <cfRule type="containsText" dxfId="35" priority="30" operator="containsText" text="In Progress">
      <formula>NOT(ISERROR(SEARCH("In Progress",D4)))</formula>
    </cfRule>
  </conditionalFormatting>
  <conditionalFormatting sqref="D5:D13">
    <cfRule type="cellIs" dxfId="34" priority="16" operator="equal">
      <formula>"No Iniciado"</formula>
    </cfRule>
    <cfRule type="cellIs" dxfId="33" priority="17" operator="equal">
      <formula>"Aprobado"</formula>
    </cfRule>
    <cfRule type="cellIs" dxfId="32" priority="18" operator="equal">
      <formula>"En Espera"</formula>
    </cfRule>
    <cfRule type="cellIs" dxfId="31" priority="19" operator="equal">
      <formula>"Atrasado"</formula>
    </cfRule>
    <cfRule type="cellIs" dxfId="30" priority="20" operator="equal">
      <formula>"Aprovado"</formula>
    </cfRule>
    <cfRule type="cellIs" dxfId="29" priority="21" operator="equal">
      <formula>"Requiere Revisión"</formula>
    </cfRule>
    <cfRule type="cellIs" dxfId="28" priority="22" operator="equal">
      <formula>"En Progreso"</formula>
    </cfRule>
    <cfRule type="cellIs" dxfId="27" priority="23" operator="equal">
      <formula>"Completo"</formula>
    </cfRule>
  </conditionalFormatting>
  <conditionalFormatting sqref="D18:D27">
    <cfRule type="containsText" dxfId="26" priority="9" operator="containsText" text="Approved">
      <formula>NOT(ISERROR(SEARCH("Approved",D18)))</formula>
    </cfRule>
    <cfRule type="containsText" dxfId="25" priority="10" operator="containsText" text="Needs Review">
      <formula>NOT(ISERROR(SEARCH("Needs Review",D18)))</formula>
    </cfRule>
    <cfRule type="containsText" dxfId="24" priority="11" operator="containsText" text="Not Started">
      <formula>NOT(ISERROR(SEARCH("Not Started",D18)))</formula>
    </cfRule>
    <cfRule type="containsText" dxfId="23" priority="12" operator="containsText" text="On Hold">
      <formula>NOT(ISERROR(SEARCH("On Hold",D18)))</formula>
    </cfRule>
    <cfRule type="containsText" dxfId="22" priority="13" operator="containsText" text="Overdue">
      <formula>NOT(ISERROR(SEARCH("Overdue",D18)))</formula>
    </cfRule>
    <cfRule type="containsText" dxfId="21" priority="14" operator="containsText" text="Complete">
      <formula>NOT(ISERROR(SEARCH("Complete",D18)))</formula>
    </cfRule>
    <cfRule type="containsText" dxfId="20" priority="15" operator="containsText" text="In Progress">
      <formula>NOT(ISERROR(SEARCH("In Progress",D18)))</formula>
    </cfRule>
  </conditionalFormatting>
  <conditionalFormatting sqref="D19:D27">
    <cfRule type="cellIs" dxfId="19" priority="1" operator="equal">
      <formula>"No Iniciado"</formula>
    </cfRule>
    <cfRule type="cellIs" dxfId="18" priority="2" operator="equal">
      <formula>"Aprobado"</formula>
    </cfRule>
    <cfRule type="cellIs" dxfId="17" priority="3" operator="equal">
      <formula>"En Espera"</formula>
    </cfRule>
    <cfRule type="cellIs" dxfId="16" priority="4" operator="equal">
      <formula>"Atrasado"</formula>
    </cfRule>
    <cfRule type="cellIs" dxfId="15" priority="5" operator="equal">
      <formula>"Aprovado"</formula>
    </cfRule>
    <cfRule type="cellIs" dxfId="14" priority="6" operator="equal">
      <formula>"Requiere Revisión"</formula>
    </cfRule>
    <cfRule type="cellIs" dxfId="13" priority="7" operator="equal">
      <formula>"En Progreso"</formula>
    </cfRule>
    <cfRule type="cellIs" dxfId="12" priority="8" operator="equal">
      <formula>"Completo"</formula>
    </cfRule>
  </conditionalFormatting>
  <conditionalFormatting sqref="U5:U14 U19:U28">
    <cfRule type="cellIs" dxfId="11" priority="44" operator="lessThan">
      <formula>0</formula>
    </cfRule>
    <cfRule type="cellIs" dxfId="10" priority="45" operator="greaterThan">
      <formula>0</formula>
    </cfRule>
  </conditionalFormatting>
  <conditionalFormatting sqref="U15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3" right="0.3" top="0.3" bottom="0.3" header="0" footer="0"/>
  <pageSetup scale="63" fitToHeight="0" orientation="landscape" horizontalDpi="4294967292" verticalDpi="4294967292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D4:D13 D18:D27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I3" sqref="I3"/>
    </sheetView>
  </sheetViews>
  <sheetFormatPr defaultColWidth="11.25" defaultRowHeight="15.6"/>
  <cols>
    <col min="1" max="1" width="3.375" style="10" customWidth="1"/>
    <col min="2" max="2" width="10.875" style="10"/>
    <col min="3" max="3" width="3.375" style="10" customWidth="1"/>
    <col min="5" max="5" width="3.375" style="10" customWidth="1"/>
    <col min="6" max="6" width="12.875" customWidth="1"/>
    <col min="7" max="7" width="3.375" style="10" customWidth="1"/>
  </cols>
  <sheetData>
    <row r="1" spans="1:32" s="10" customFormat="1" ht="42" customHeight="1" thickBot="1">
      <c r="B1" s="34" t="s">
        <v>45</v>
      </c>
      <c r="C1" s="8"/>
      <c r="D1" s="8"/>
      <c r="E1" s="8"/>
      <c r="F1" s="8"/>
      <c r="G1" s="8"/>
      <c r="H1" s="8"/>
      <c r="I1" s="8"/>
      <c r="J1" s="8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32" ht="24.95" customHeight="1" thickTop="1">
      <c r="A2" s="9"/>
      <c r="B2" s="33" t="s">
        <v>46</v>
      </c>
      <c r="C2" s="9"/>
      <c r="D2" s="33" t="s">
        <v>47</v>
      </c>
      <c r="E2" s="9"/>
      <c r="F2" s="33" t="s">
        <v>8</v>
      </c>
      <c r="G2" s="9"/>
    </row>
    <row r="3" spans="1:32" ht="35.1" customHeight="1">
      <c r="A3" s="9"/>
      <c r="B3" s="32" t="s">
        <v>48</v>
      </c>
      <c r="C3" s="9"/>
      <c r="D3" s="31" t="s">
        <v>49</v>
      </c>
      <c r="E3" s="9"/>
      <c r="F3" s="73" t="s">
        <v>37</v>
      </c>
      <c r="G3" s="9"/>
    </row>
    <row r="4" spans="1:32" ht="35.1" customHeight="1">
      <c r="A4" s="9"/>
      <c r="B4" s="30" t="s">
        <v>50</v>
      </c>
      <c r="C4" s="9"/>
      <c r="D4" s="29" t="s">
        <v>51</v>
      </c>
      <c r="E4" s="9"/>
      <c r="F4" s="74" t="s">
        <v>29</v>
      </c>
      <c r="G4" s="9"/>
    </row>
    <row r="5" spans="1:32" ht="35.1" customHeight="1">
      <c r="A5" s="9"/>
      <c r="C5" s="9"/>
      <c r="D5" s="28" t="s">
        <v>52</v>
      </c>
      <c r="E5" s="9"/>
      <c r="F5" s="75" t="s">
        <v>53</v>
      </c>
      <c r="G5" s="9"/>
    </row>
    <row r="6" spans="1:32" ht="35.1" customHeight="1">
      <c r="A6" s="9"/>
      <c r="C6" s="9"/>
      <c r="D6" s="24"/>
      <c r="E6" s="9"/>
      <c r="F6" s="27" t="s">
        <v>54</v>
      </c>
      <c r="G6" s="9"/>
    </row>
    <row r="7" spans="1:32" ht="35.1" customHeight="1">
      <c r="A7" s="9"/>
      <c r="C7" s="9"/>
      <c r="D7" s="24"/>
      <c r="E7" s="9"/>
      <c r="F7" s="26" t="s">
        <v>55</v>
      </c>
      <c r="G7" s="9"/>
    </row>
    <row r="8" spans="1:32" ht="35.1" customHeight="1">
      <c r="A8" s="9"/>
      <c r="C8" s="9"/>
      <c r="E8" s="9"/>
      <c r="F8" s="18" t="s">
        <v>56</v>
      </c>
      <c r="G8" s="9"/>
    </row>
    <row r="9" spans="1:32" ht="35.1" customHeight="1">
      <c r="A9" s="9"/>
      <c r="B9" s="9"/>
      <c r="C9" s="9"/>
      <c r="E9" s="9"/>
      <c r="F9" s="25" t="s">
        <v>32</v>
      </c>
      <c r="G9" s="9"/>
    </row>
    <row r="10" spans="1:32" ht="35.1" customHeight="1">
      <c r="A10" s="9"/>
      <c r="B10" s="9"/>
      <c r="C10" s="9"/>
      <c r="D10" s="24"/>
      <c r="E10" s="9"/>
      <c r="F10" s="17"/>
      <c r="G10" s="9"/>
    </row>
    <row r="11" spans="1:32" ht="35.1" customHeight="1">
      <c r="A11" s="9"/>
      <c r="B11" s="9"/>
      <c r="C11" s="9"/>
      <c r="D11" s="24"/>
      <c r="E11" s="9"/>
      <c r="F11" s="17"/>
      <c r="G11" s="9"/>
    </row>
    <row r="12" spans="1:32">
      <c r="A12" s="9"/>
      <c r="B12" s="9"/>
      <c r="C12" s="9"/>
      <c r="D12" s="24"/>
      <c r="E12" s="9"/>
      <c r="F12" s="24"/>
      <c r="G12" s="9"/>
    </row>
    <row r="13" spans="1:32">
      <c r="A13" s="9"/>
      <c r="B13" s="9"/>
      <c r="C13" s="9"/>
      <c r="D13" s="24"/>
      <c r="E13" s="9"/>
      <c r="F13" s="24"/>
      <c r="G13" s="9"/>
    </row>
    <row r="14" spans="1:32">
      <c r="A14" s="9"/>
      <c r="B14" s="9"/>
      <c r="C14" s="9"/>
      <c r="D14" s="24"/>
      <c r="E14" s="9"/>
      <c r="F14" s="24"/>
      <c r="G14" s="9"/>
    </row>
    <row r="15" spans="1:32">
      <c r="A15" s="9"/>
      <c r="B15" s="9"/>
      <c r="C15" s="9"/>
      <c r="D15" s="24"/>
      <c r="E15" s="9"/>
      <c r="F15" s="24"/>
      <c r="G15" s="9"/>
    </row>
    <row r="16" spans="1:32">
      <c r="A16" s="9"/>
      <c r="B16" s="9"/>
      <c r="C16" s="9"/>
      <c r="D16" s="24"/>
      <c r="E16" s="9"/>
      <c r="F16" s="24"/>
      <c r="G16" s="9"/>
    </row>
    <row r="17" spans="1:7">
      <c r="A17" s="9"/>
      <c r="B17" s="9"/>
      <c r="C17" s="9"/>
      <c r="D17" s="24"/>
      <c r="E17" s="9"/>
      <c r="G17" s="9"/>
    </row>
    <row r="18" spans="1:7">
      <c r="A18" s="9"/>
      <c r="B18" s="9"/>
      <c r="C18" s="9"/>
      <c r="D18" s="24"/>
      <c r="E18" s="9"/>
      <c r="G18" s="9"/>
    </row>
    <row r="19" spans="1:7">
      <c r="A19" s="9"/>
      <c r="B19" s="9"/>
      <c r="C19" s="9"/>
      <c r="D19" s="24"/>
      <c r="E19" s="9"/>
      <c r="G19" s="9"/>
    </row>
    <row r="20" spans="1:7">
      <c r="A20" s="9"/>
      <c r="B20" s="9"/>
      <c r="C20" s="9"/>
      <c r="D20" s="24"/>
      <c r="E20" s="9"/>
      <c r="G20" s="9"/>
    </row>
    <row r="21" spans="1:7">
      <c r="A21" s="9"/>
      <c r="B21" s="9"/>
      <c r="C21" s="9"/>
      <c r="D21" s="24"/>
      <c r="E21" s="9"/>
      <c r="G21" s="9"/>
    </row>
    <row r="22" spans="1:7">
      <c r="A22" s="9"/>
      <c r="B22" s="9"/>
      <c r="C22" s="9"/>
      <c r="D22" s="24"/>
      <c r="E22" s="9"/>
      <c r="G22" s="9"/>
    </row>
    <row r="23" spans="1:7">
      <c r="A23" s="9"/>
      <c r="B23" s="9"/>
      <c r="C23" s="9"/>
      <c r="D23" s="24"/>
      <c r="E23" s="9"/>
      <c r="G23" s="9"/>
    </row>
    <row r="24" spans="1:7">
      <c r="A24" s="9"/>
      <c r="B24" s="9"/>
      <c r="C24" s="9"/>
      <c r="D24" s="24"/>
      <c r="E24" s="9"/>
      <c r="G24" s="9"/>
    </row>
    <row r="25" spans="1:7">
      <c r="A25" s="9"/>
      <c r="B25" s="9"/>
      <c r="C25" s="9"/>
      <c r="D25" s="24"/>
      <c r="E25" s="9"/>
      <c r="G25" s="9"/>
    </row>
    <row r="26" spans="1:7">
      <c r="A26" s="9"/>
      <c r="B26" s="9"/>
      <c r="C26" s="9"/>
      <c r="D26" s="24"/>
      <c r="E26" s="9"/>
      <c r="G26" s="9"/>
    </row>
    <row r="27" spans="1:7">
      <c r="A27" s="9"/>
      <c r="B27" s="9"/>
      <c r="C27" s="9"/>
      <c r="D27" s="24"/>
      <c r="E27" s="9"/>
      <c r="G27" s="9"/>
    </row>
    <row r="28" spans="1:7">
      <c r="A28" s="9"/>
      <c r="B28" s="9"/>
      <c r="C28" s="9"/>
      <c r="D28" s="24"/>
      <c r="E28" s="9"/>
      <c r="G28" s="9"/>
    </row>
    <row r="29" spans="1:7">
      <c r="A29" s="9"/>
      <c r="B29" s="9"/>
      <c r="C29" s="9"/>
      <c r="D29" s="24"/>
      <c r="E29" s="9"/>
      <c r="G29" s="9"/>
    </row>
    <row r="30" spans="1:7">
      <c r="A30" s="9"/>
      <c r="B30" s="9"/>
      <c r="C30" s="9"/>
      <c r="D30" s="24"/>
      <c r="E30" s="9"/>
      <c r="G30" s="9"/>
    </row>
    <row r="31" spans="1:7">
      <c r="A31" s="9"/>
      <c r="B31" s="9"/>
      <c r="C31" s="9"/>
      <c r="D31" s="24"/>
      <c r="E31" s="9"/>
      <c r="G31" s="9"/>
    </row>
    <row r="32" spans="1:7">
      <c r="A32"/>
      <c r="B32"/>
      <c r="C32"/>
      <c r="D32" s="24"/>
      <c r="E32"/>
      <c r="G32"/>
    </row>
    <row r="33" spans="1:7">
      <c r="A33" s="9"/>
      <c r="B33" s="9"/>
      <c r="C33" s="9"/>
      <c r="E33" s="9"/>
      <c r="G33" s="9"/>
    </row>
    <row r="34" spans="1:7">
      <c r="A34" s="9"/>
      <c r="B34" s="9"/>
      <c r="C34" s="9"/>
      <c r="E34" s="9"/>
      <c r="G34" s="9"/>
    </row>
    <row r="35" spans="1:7">
      <c r="A35" s="9"/>
      <c r="B35" s="9"/>
      <c r="C35" s="9"/>
      <c r="E35" s="9"/>
      <c r="G35" s="9"/>
    </row>
    <row r="36" spans="1:7">
      <c r="A36" s="9"/>
      <c r="B36" s="9"/>
      <c r="C36" s="9"/>
      <c r="E36" s="9"/>
      <c r="G36" s="9"/>
    </row>
    <row r="37" spans="1:7">
      <c r="A37" s="9"/>
      <c r="B37" s="9"/>
      <c r="C37" s="9"/>
      <c r="E37" s="9"/>
      <c r="G37" s="9"/>
    </row>
    <row r="38" spans="1:7">
      <c r="A38" s="9"/>
      <c r="B38" s="9"/>
      <c r="C38" s="9"/>
      <c r="E38" s="9"/>
      <c r="G38" s="9"/>
    </row>
    <row r="39" spans="1:7">
      <c r="A39" s="9"/>
      <c r="B39" s="9"/>
      <c r="C39" s="9"/>
      <c r="E39" s="9"/>
      <c r="G39" s="9"/>
    </row>
    <row r="40" spans="1:7">
      <c r="A40" s="9"/>
      <c r="B40" s="9"/>
      <c r="C40" s="9"/>
      <c r="E40" s="9"/>
      <c r="G40" s="9"/>
    </row>
    <row r="41" spans="1:7">
      <c r="A41" s="9"/>
      <c r="B41" s="9"/>
      <c r="C41" s="9"/>
      <c r="E41" s="9"/>
      <c r="G41" s="9"/>
    </row>
    <row r="42" spans="1:7">
      <c r="A42" s="9"/>
      <c r="B42" s="9"/>
      <c r="C42" s="9"/>
      <c r="E42" s="9"/>
      <c r="G42" s="9"/>
    </row>
    <row r="43" spans="1:7">
      <c r="A43" s="9"/>
      <c r="B43" s="9"/>
      <c r="C43" s="9"/>
      <c r="E43" s="9"/>
      <c r="G43" s="9"/>
    </row>
    <row r="44" spans="1:7">
      <c r="A44" s="9"/>
      <c r="B44" s="9"/>
      <c r="C44" s="9"/>
      <c r="E44" s="9"/>
      <c r="G44" s="9"/>
    </row>
    <row r="45" spans="1:7">
      <c r="A45" s="9"/>
      <c r="B45" s="9"/>
      <c r="C45" s="9"/>
      <c r="E45" s="9"/>
      <c r="G45" s="9"/>
    </row>
    <row r="46" spans="1:7">
      <c r="A46" s="9"/>
      <c r="B46" s="9"/>
      <c r="C46" s="9"/>
      <c r="E46" s="9"/>
      <c r="G46" s="9"/>
    </row>
    <row r="47" spans="1:7">
      <c r="A47" s="9"/>
      <c r="B47" s="9"/>
      <c r="C47" s="9"/>
      <c r="E47" s="9"/>
      <c r="G47" s="9"/>
    </row>
    <row r="48" spans="1:7">
      <c r="A48" s="9"/>
      <c r="B48" s="9"/>
      <c r="C48" s="9"/>
      <c r="E48" s="9"/>
      <c r="G48" s="9"/>
    </row>
    <row r="49" spans="1:7">
      <c r="A49" s="9"/>
      <c r="B49" s="9"/>
      <c r="C49" s="9"/>
      <c r="E49" s="9"/>
      <c r="G49" s="9"/>
    </row>
    <row r="50" spans="1:7">
      <c r="A50" s="9"/>
      <c r="B50" s="9"/>
      <c r="C50" s="9"/>
      <c r="E50" s="9"/>
      <c r="G50" s="9"/>
    </row>
    <row r="51" spans="1:7">
      <c r="A51" s="9"/>
      <c r="B51" s="9"/>
      <c r="C51" s="9"/>
      <c r="E51" s="9"/>
      <c r="G51" s="9"/>
    </row>
    <row r="52" spans="1:7">
      <c r="A52" s="9"/>
      <c r="B52" s="9"/>
      <c r="C52" s="9"/>
      <c r="E52" s="9"/>
      <c r="G52" s="9"/>
    </row>
    <row r="53" spans="1:7">
      <c r="A53" s="9"/>
      <c r="B53" s="9"/>
      <c r="C53" s="9"/>
      <c r="E53" s="9"/>
      <c r="G53" s="9"/>
    </row>
    <row r="54" spans="1:7">
      <c r="A54" s="9"/>
      <c r="B54" s="9"/>
      <c r="C54" s="9"/>
      <c r="E54" s="9"/>
      <c r="G54" s="9"/>
    </row>
    <row r="55" spans="1:7">
      <c r="A55" s="9"/>
      <c r="B55" s="9"/>
      <c r="C55" s="9"/>
      <c r="E55" s="9"/>
      <c r="G55" s="9"/>
    </row>
    <row r="56" spans="1:7">
      <c r="A56" s="9"/>
      <c r="B56" s="9"/>
      <c r="C56" s="9"/>
      <c r="E56" s="9"/>
      <c r="G56" s="9"/>
    </row>
    <row r="57" spans="1:7">
      <c r="A57" s="9"/>
      <c r="B57" s="9"/>
      <c r="C57" s="9"/>
      <c r="E57" s="9"/>
      <c r="G57" s="9"/>
    </row>
    <row r="58" spans="1:7">
      <c r="A58" s="9"/>
      <c r="B58" s="9"/>
      <c r="C58" s="9"/>
      <c r="E58" s="9"/>
      <c r="G58" s="9"/>
    </row>
    <row r="59" spans="1:7">
      <c r="A59" s="9"/>
      <c r="B59" s="9"/>
      <c r="C59" s="9"/>
      <c r="E59" s="9"/>
      <c r="G59" s="9"/>
    </row>
    <row r="60" spans="1:7">
      <c r="A60" s="9"/>
      <c r="B60" s="9"/>
      <c r="C60" s="9"/>
      <c r="E60" s="9"/>
      <c r="G60" s="9"/>
    </row>
    <row r="61" spans="1:7">
      <c r="A61" s="9"/>
      <c r="B61" s="9"/>
      <c r="C61" s="9"/>
      <c r="E61" s="9"/>
      <c r="G61" s="9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8" operator="containsText" text="Approved">
      <formula>NOT(ISERROR(SEARCH("Approved",F3)))</formula>
    </cfRule>
    <cfRule type="containsText" dxfId="5" priority="12" operator="containsText" text="Needs Review">
      <formula>NOT(ISERROR(SEARCH("Needs Review",F3)))</formula>
    </cfRule>
    <cfRule type="containsText" dxfId="4" priority="13" operator="containsText" text="Not Started">
      <formula>NOT(ISERROR(SEARCH("Not Started",F3)))</formula>
    </cfRule>
    <cfRule type="containsText" dxfId="3" priority="14" operator="containsText" text="On Hold">
      <formula>NOT(ISERROR(SEARCH("On Hold",F3)))</formula>
    </cfRule>
    <cfRule type="containsText" dxfId="2" priority="15" operator="containsText" text="Overdue">
      <formula>NOT(ISERROR(SEARCH("Overdue",F3)))</formula>
    </cfRule>
    <cfRule type="containsText" dxfId="1" priority="16" operator="containsText" text="Complete">
      <formula>NOT(ISERROR(SEARCH("Complete",F3)))</formula>
    </cfRule>
    <cfRule type="containsText" dxfId="0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c33cb26-6bcc-4507-a6cc-6d458a10611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5B78A338D02B4CB038A7517D72E7CB" ma:contentTypeVersion="14" ma:contentTypeDescription="Create a new document." ma:contentTypeScope="" ma:versionID="66faee333313af4562dc495f2f454067">
  <xsd:schema xmlns:xsd="http://www.w3.org/2001/XMLSchema" xmlns:xs="http://www.w3.org/2001/XMLSchema" xmlns:p="http://schemas.microsoft.com/office/2006/metadata/properties" xmlns:ns3="ac33cb26-6bcc-4507-a6cc-6d458a10611e" xmlns:ns4="4edcf593-6efe-46a8-80a8-9cdd573f590d" targetNamespace="http://schemas.microsoft.com/office/2006/metadata/properties" ma:root="true" ma:fieldsID="1a1b246ad949789b3b4b2d02e1385e26" ns3:_="" ns4:_="">
    <xsd:import namespace="ac33cb26-6bcc-4507-a6cc-6d458a10611e"/>
    <xsd:import namespace="4edcf593-6efe-46a8-80a8-9cdd573f590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33cb26-6bcc-4507-a6cc-6d458a1061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dcf593-6efe-46a8-80a8-9cdd573f590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C539C5-5B43-45F7-B076-5D1887A13B62}"/>
</file>

<file path=customXml/itemProps2.xml><?xml version="1.0" encoding="utf-8"?>
<ds:datastoreItem xmlns:ds="http://schemas.openxmlformats.org/officeDocument/2006/customXml" ds:itemID="{A7C9EBD1-3B09-4924-AF05-0857221471EC}"/>
</file>

<file path=customXml/itemProps3.xml><?xml version="1.0" encoding="utf-8"?>
<ds:datastoreItem xmlns:ds="http://schemas.openxmlformats.org/officeDocument/2006/customXml" ds:itemID="{8B001EDA-32AC-402E-885E-569E37BBD57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Bess</dc:creator>
  <cp:keywords/>
  <dc:description/>
  <cp:lastModifiedBy>MIGUEL JOSE RAMIREZ ROJAS</cp:lastModifiedBy>
  <cp:revision/>
  <dcterms:created xsi:type="dcterms:W3CDTF">2015-08-28T20:34:30Z</dcterms:created>
  <dcterms:modified xsi:type="dcterms:W3CDTF">2026-03-06T15:37:20Z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0x010100145B78A338D02B4CB038A7517D72E7CB</vt:lpwstr>
  </property>
</Properties>
</file>